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ring model" sheetId="1" state="visible" r:id="rId3"/>
    <sheet name="Prospects" sheetId="2" state="visible" r:id="rId4"/>
    <sheet name="Phase 1 shortlist" sheetId="3" state="visible" r:id="rId5"/>
    <sheet name="Checked not Shopify" sheetId="4" state="visible" r:id="rId6"/>
    <sheet name="Blocked by bot protection" sheetId="5" state="visible" r:id="rId7"/>
    <sheet name="Method" sheetId="6" state="visible" r:id="rId8"/>
  </sheets>
  <definedNames>
    <definedName function="false" hidden="true" localSheetId="1" name="_xlnm._FilterDatabase" vbProcedure="false">Prospects!$A$4:$AD$37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<sst xmlns="http://schemas.openxmlformats.org/spreadsheetml/2006/main" count="859" uniqueCount="475">
  <si>
    <t xml:space="preserve">Scoring models</t>
  </si>
  <si>
    <t xml:space="preserve">Blue cells are weights you can change. Scores on the Prospects tab recalculate. Platform is now a filter column, not a scored criterion, because 31 of 33 prospects scored identically on it and it separated nobody.</t>
  </si>
  <si>
    <t xml:space="preserve">PHASE 1 — Speed to first client (current priority)</t>
  </si>
  <si>
    <t xml:space="preserve">Optimises for how fast someone will say yes and how quickly you can start testing. Deliberately ignores budget size and client value.</t>
  </si>
  <si>
    <t xml:space="preserve">Criterion</t>
  </si>
  <si>
    <t xml:space="preserve">Weight</t>
  </si>
  <si>
    <t xml:space="preserve">1 point</t>
  </si>
  <si>
    <t xml:space="preserve">2 points</t>
  </si>
  <si>
    <t xml:space="preserve">3 points</t>
  </si>
  <si>
    <t xml:space="preserve">Decision speed</t>
  </si>
  <si>
    <t xml:space="preserve">Enterprise or entrenched agency</t>
  </si>
  <si>
    <t xml:space="preserve">Mid-market, some internal process</t>
  </si>
  <si>
    <t xml:space="preserve">Owner-managed, one decision maker</t>
  </si>
  <si>
    <t xml:space="preserve">Provable problem in hand</t>
  </si>
  <si>
    <t xml:space="preserve">Nothing specific, or mature account</t>
  </si>
  <si>
    <t xml:space="preserve">Clear gap, needs a call to confirm</t>
  </si>
  <si>
    <t xml:space="preserve">Verified finding that costs them money today</t>
  </si>
  <si>
    <t xml:space="preserve">Live media to work on</t>
  </si>
  <si>
    <t xml:space="preserve">No paid tags detected</t>
  </si>
  <si>
    <t xml:space="preserve">Conversion tag live, ads unconfirmed</t>
  </si>
  <si>
    <t xml:space="preserve">Active ads confirmed in the library</t>
  </si>
  <si>
    <t xml:space="preserve">Proximity to York</t>
  </si>
  <si>
    <t xml:space="preserve">Over 75 min drive</t>
  </si>
  <si>
    <t xml:space="preserve">45 to 75 min</t>
  </si>
  <si>
    <t xml:space="preserve">York or under 45 min</t>
  </si>
  <si>
    <t xml:space="preserve">Category fit</t>
  </si>
  <si>
    <t xml:space="preserve">Outside the vertical</t>
  </si>
  <si>
    <t xml:space="preserve">Other food or drink</t>
  </si>
  <si>
    <t xml:space="preserve">Coffee or beer</t>
  </si>
  <si>
    <t xml:space="preserve">Maximum possible speed score</t>
  </si>
  <si>
    <t xml:space="preserve">PHASE 2 — Client value (use once you have two case studies)</t>
  </si>
  <si>
    <t xml:space="preserve">Ability to pay replaces SKU count as the scale proxy. Fill it from Companies House (employees, net assets, creditors). Until it is filled the value score reads Pending.</t>
  </si>
  <si>
    <t xml:space="preserve">Ability to pay</t>
  </si>
  <si>
    <t xml:space="preserve">Under 10 staff or distressed balance sheet</t>
  </si>
  <si>
    <t xml:space="preserve">10 to 49 staff, stable</t>
  </si>
  <si>
    <t xml:space="preserve">50+ staff or known strong trading</t>
  </si>
  <si>
    <t xml:space="preserve">Paid media activity</t>
  </si>
  <si>
    <t xml:space="preserve">No tags, no ads</t>
  </si>
  <si>
    <t xml:space="preserve">Conversion tag installed, no live ads found</t>
  </si>
  <si>
    <t xml:space="preserve">Live ads confirmed on Meta or Google</t>
  </si>
  <si>
    <t xml:space="preserve">Commercial scale</t>
  </si>
  <si>
    <t xml:space="preserve">Very small catalogue or local only</t>
  </si>
  <si>
    <t xml:space="preserve">Regional, moderate range</t>
  </si>
  <si>
    <t xml:space="preserve">National distribution or large catalogue</t>
  </si>
  <si>
    <t xml:space="preserve">Winnability</t>
  </si>
  <si>
    <t xml:space="preserve">Enterprise with entrenched agency</t>
  </si>
  <si>
    <t xml:space="preserve">Mid-market, likely incumbent</t>
  </si>
  <si>
    <t xml:space="preserve">Owner-managed, fast decision</t>
  </si>
  <si>
    <t xml:space="preserve">Fixable stack gaps</t>
  </si>
  <si>
    <t xml:space="preserve">Mature, well run</t>
  </si>
  <si>
    <t xml:space="preserve">Some gaps</t>
  </si>
  <si>
    <t xml:space="preserve">Obvious fixable problems</t>
  </si>
  <si>
    <t xml:space="preserve">Maximum possible value score</t>
  </si>
  <si>
    <t xml:space="preserve">What changed from v1</t>
  </si>
  <si>
    <t xml:space="preserve">• Platform fit removed as a criterion. 31 of 33 scored 3, adding a flat 4.5 to everyone and ranking nobody. It is now a filter column.</t>
  </si>
  <si>
    <t xml:space="preserve">• Split into two models. Phase 1 ranks speed to a signed client; phase 2 ranks client value. They give very different orders.</t>
  </si>
  <si>
    <t xml:space="preserve">• Fixable stack gaps removed from phase 1 scoring as a standalone criterion and replaced by 'provable problem in hand', which requires a specific verified finding rather than a general gap.</t>
  </si>
  <si>
    <t xml:space="preserve">• Ability to pay added to phase 2, replacing SKU count as the scale proxy. SKU count was misleading: Theakston has 85 SKUs and GA4 only; Black Sheep has 20 SKUs and national recognition.</t>
  </si>
  <si>
    <t xml:space="preserve">• Budget status column added, splitting 'take over an existing budget' from 'create a budget from nothing'. The second group is a much longer sale.</t>
  </si>
  <si>
    <t xml:space="preserve">• Commercial model column added (subscription vs transactional). This, not the drink, determines the media playbook.</t>
  </si>
  <si>
    <t xml:space="preserve">• Alcohol column added. Alcohol is prohibited on the Shop channel, needs Meta permissions, and Google's alcohol certification regime starts 30 Sep 2026.</t>
  </si>
  <si>
    <t xml:space="preserve">Yorkshire prospect list — ranked for speed to first client</t>
  </si>
  <si>
    <t xml:space="preserve">Platform, martech and paid activity verified 21 Sep 2026 by fingerprinting each live site, checked against the Meta Ad Library and Google Ads Transparency Center. 'Not detected' means absent from the homepage HTML, which consent gating can cause. Treat it as a question to ask, never a finding to assert in a pitch. Sorted by Speed score, highest first.</t>
  </si>
  <si>
    <t xml:space="preserve">Brand</t>
  </si>
  <si>
    <t xml:space="preserve">Domain</t>
  </si>
  <si>
    <t xml:space="preserve">Town</t>
  </si>
  <si>
    <t xml:space="preserve">Drive from York</t>
  </si>
  <si>
    <t xml:space="preserve">Category</t>
  </si>
  <si>
    <t xml:space="preserve">Alcohol</t>
  </si>
  <si>
    <t xml:space="preserve">Commercial model</t>
  </si>
  <si>
    <t xml:space="preserve">Budget status</t>
  </si>
  <si>
    <t xml:space="preserve">Platform</t>
  </si>
  <si>
    <t xml:space="preserve">SKUs</t>
  </si>
  <si>
    <t xml:space="preserve">ESP</t>
  </si>
  <si>
    <t xml:space="preserve">Reviews</t>
  </si>
  <si>
    <t xml:space="preserve">Subscription</t>
  </si>
  <si>
    <t xml:space="preserve">Martech detected</t>
  </si>
  <si>
    <t xml:space="preserve">Paid media status</t>
  </si>
  <si>
    <t xml:space="preserve">Provable problem to lead with</t>
  </si>
  <si>
    <t xml:space="preserve">P1 Decision speed</t>
  </si>
  <si>
    <t xml:space="preserve">P1 Provable problem</t>
  </si>
  <si>
    <t xml:space="preserve">P1 Live media</t>
  </si>
  <si>
    <t xml:space="preserve">P1 Proximity</t>
  </si>
  <si>
    <t xml:space="preserve">P1 Category fit</t>
  </si>
  <si>
    <t xml:space="preserve">SPEED SCORE</t>
  </si>
  <si>
    <t xml:space="preserve">P2 Ability to pay</t>
  </si>
  <si>
    <t xml:space="preserve">P2 Paid activity</t>
  </si>
  <si>
    <t xml:space="preserve">P2 Scale</t>
  </si>
  <si>
    <t xml:space="preserve">P2 Winnability</t>
  </si>
  <si>
    <t xml:space="preserve">P2 Stack gaps</t>
  </si>
  <si>
    <t xml:space="preserve">VALUE SCORE</t>
  </si>
  <si>
    <t xml:space="preserve">Status</t>
  </si>
  <si>
    <t xml:space="preserve">Next action</t>
  </si>
  <si>
    <t xml:space="preserve">Brew York</t>
  </si>
  <si>
    <t xml:space="preserve">brewyork.co.uk</t>
  </si>
  <si>
    <t xml:space="preserve">York</t>
  </si>
  <si>
    <t xml:space="preserve">Craft beer</t>
  </si>
  <si>
    <t xml:space="preserve">Yes</t>
  </si>
  <si>
    <t xml:space="preserve">Transactional</t>
  </si>
  <si>
    <t xml:space="preserve">Tag only</t>
  </si>
  <si>
    <t xml:space="preserve">WooCommerce</t>
  </si>
  <si>
    <t xml:space="preserve">261</t>
  </si>
  <si>
    <t xml:space="preserve">Mailchimp</t>
  </si>
  <si>
    <t xml:space="preserve">Trustpilot</t>
  </si>
  <si>
    <t xml:space="preserve">-</t>
  </si>
  <si>
    <t xml:space="preserve">Google Ads AW-10805529416, GA4, Awin, Stripe, Mailchimp, facebook-for-woocommerce AND PixelYourSite</t>
  </si>
  <si>
    <t xml:space="preserve">Meta: ads present, mostly inactive. Google: zero ads despite live conversion tag.</t>
  </si>
  <si>
    <t xml:space="preserve">Two Meta pixels firing at once (facebook-for-woocommerce and PixelYourSite), double-counting every event and inflating reported conversions. Plus a live Google Ads conversion tag with zero ads running.</t>
  </si>
  <si>
    <t xml:space="preserve">Northern Monk</t>
  </si>
  <si>
    <t xml:space="preserve">northernmonk.com</t>
  </si>
  <si>
    <t xml:space="preserve">Leeds</t>
  </si>
  <si>
    <t xml:space="preserve">45-75 min</t>
  </si>
  <si>
    <t xml:space="preserve">Live budget</t>
  </si>
  <si>
    <t xml:space="preserve">Shopify</t>
  </si>
  <si>
    <t xml:space="preserve">Klaviyo</t>
  </si>
  <si>
    <t xml:space="preserve">Judge.me, Loox, Trustpilot</t>
  </si>
  <si>
    <t xml:space="preserve">Recharge</t>
  </si>
  <si>
    <t xml:space="preserve">GA4, Klaviyo, Recharge, Judge.me, Loox, Trustpilot</t>
  </si>
  <si>
    <t xml:space="preserve">Meta: active ('Fresh From The North'). No Google Ads tag found.</t>
  </si>
  <si>
    <t xml:space="preserve">Running Meta with no Google Ads conversion tag detected, so non-brand search is an entirely untested channel on a subscription product. Also paying for three review apps doing one job.</t>
  </si>
  <si>
    <t xml:space="preserve">Vocation Brewery</t>
  </si>
  <si>
    <t xml:space="preserve">vocationbrewery.com</t>
  </si>
  <si>
    <t xml:space="preserve">Hebden Bridge</t>
  </si>
  <si>
    <t xml:space="preserve">90</t>
  </si>
  <si>
    <t xml:space="preserve">Klaviyo + Attentive</t>
  </si>
  <si>
    <t xml:space="preserve">Loox, Trustpilot</t>
  </si>
  <si>
    <t xml:space="preserve">Google Ads, GA4, Klaviyo, Attentive, Loox, Clarity</t>
  </si>
  <si>
    <t xml:space="preserve">Meta: active ('Life &amp; Death', launched w/c 15 Sep 2026).</t>
  </si>
  <si>
    <t xml:space="preserve">Running Meta ads with no Meta pixel detected on the homepage. Either consent-gated or a real tracking gap. Verify in a consented session before asserting it.</t>
  </si>
  <si>
    <t xml:space="preserve">Cosy Cottage Soap</t>
  </si>
  <si>
    <t xml:space="preserve">cosycottagesoap.co.uk</t>
  </si>
  <si>
    <t xml:space="preserve">Natural skincare</t>
  </si>
  <si>
    <t xml:space="preserve">No</t>
  </si>
  <si>
    <t xml:space="preserve">Judge.me, Trustpilot</t>
  </si>
  <si>
    <t xml:space="preserve">Google Ads, GA4, Klaviyo, Judge.me, Trustpilot, Clarity</t>
  </si>
  <si>
    <t xml:space="preserve">Meta: active (seen repeatedly in ad library).</t>
  </si>
  <si>
    <t xml:space="preserve">You hold their direct competitor's full paid footprint. Yorkshire Soap went dark on paid in early Sep 2026, which is a concrete share-of-voice opening.</t>
  </si>
  <si>
    <t xml:space="preserve">Yorkshire Handmade Pies</t>
  </si>
  <si>
    <t xml:space="preserve">yorkshirehandmadepies.co.uk</t>
  </si>
  <si>
    <t xml:space="preserve">Thirsk</t>
  </si>
  <si>
    <t xml:space="preserve">Under 45 min</t>
  </si>
  <si>
    <t xml:space="preserve">Food</t>
  </si>
  <si>
    <t xml:space="preserve">39</t>
  </si>
  <si>
    <t xml:space="preserve">Judge.me</t>
  </si>
  <si>
    <t xml:space="preserve">Google Ads, GA4, Recharge, Judge.me</t>
  </si>
  <si>
    <t xml:space="preserve">Google Ads tag live. Meta not confirmed.</t>
  </si>
  <si>
    <t xml:space="preserve">Running a Recharge subscription with no ESP detected. A subscription business with no lifecycle email is leaving retention revenue on the table, and retention is what funds acquisition.</t>
  </si>
  <si>
    <t xml:space="preserve">Sloemotion</t>
  </si>
  <si>
    <t xml:space="preserve">sloemotion.com</t>
  </si>
  <si>
    <t xml:space="preserve">Sloe gin and liqueurs</t>
  </si>
  <si>
    <t xml:space="preserve">Meta pixel, Google Ads, GA4, Judge.me, Clarity</t>
  </si>
  <si>
    <t xml:space="preserve">Both pixels live, ads not confirmed.</t>
  </si>
  <si>
    <t xml:space="preserve">Both acquisition pixels installed and no ESP at all. Paying to acquire traffic with nothing capturing it. York-based so a coffee meeting is trivial.</t>
  </si>
  <si>
    <t xml:space="preserve">Shepherds Purse</t>
  </si>
  <si>
    <t xml:space="preserve">shepherdspurse.co.uk</t>
  </si>
  <si>
    <t xml:space="preserve">Artisan cheese</t>
  </si>
  <si>
    <t xml:space="preserve">29</t>
  </si>
  <si>
    <t xml:space="preserve">Google Ads, GA4, Klaviyo, Judge.me</t>
  </si>
  <si>
    <t xml:space="preserve">Google Ads tag live.</t>
  </si>
  <si>
    <t xml:space="preserve">Google Ads tag live under 45 minutes from York, with Q4 hamper and gifting season about to start. Timing is the hook.</t>
  </si>
  <si>
    <t xml:space="preserve">Roosters</t>
  </si>
  <si>
    <t xml:space="preserve">roosters.co.uk</t>
  </si>
  <si>
    <t xml:space="preserve">Harrogate</t>
  </si>
  <si>
    <t xml:space="preserve">Meta pixel, Google Ads, GA4</t>
  </si>
  <si>
    <t xml:space="preserve">Both acquisition pixels installed, and no ESP and no review app. The entire retention layer is missing behind live acquisition tags.</t>
  </si>
  <si>
    <t xml:space="preserve">Saltaire Brewery</t>
  </si>
  <si>
    <t xml:space="preserve">saltairebrewery.com</t>
  </si>
  <si>
    <t xml:space="preserve">Shipley</t>
  </si>
  <si>
    <t xml:space="preserve">Canonical Yorkshire brewery stack: Shopify + Klaviyo + Judge.me + Google tag + no Meta pixel + no subscription. One audit template covers this and Ilkley and Black Sheep.</t>
  </si>
  <si>
    <t xml:space="preserve">Ilkley Brewery</t>
  </si>
  <si>
    <t xml:space="preserve">ilkleybrewery.co.uk</t>
  </si>
  <si>
    <t xml:space="preserve">Ilkley</t>
  </si>
  <si>
    <t xml:space="preserve">Identical stack signature to Saltaire and Black Sheep. The second one you audit costs a fraction of the time of the first.</t>
  </si>
  <si>
    <t xml:space="preserve">Yorkshire Dama Cheese</t>
  </si>
  <si>
    <t xml:space="preserve">yorkshiredamacheese.co.uk</t>
  </si>
  <si>
    <t xml:space="preserve">No paid detected</t>
  </si>
  <si>
    <t xml:space="preserve">None detected</t>
  </si>
  <si>
    <t xml:space="preserve">No tags of any kind detected.</t>
  </si>
  <si>
    <t xml:space="preserve">Zero measurement of any kind on a live Shopify store. Nothing to unpick, so the fastest possible technical win. Almost certainly the smallest budget on the list, which makes it a good free pilot.</t>
  </si>
  <si>
    <t xml:space="preserve">Weetons</t>
  </si>
  <si>
    <t xml:space="preserve">weetons.com</t>
  </si>
  <si>
    <t xml:space="preserve">Farm shop, hampers</t>
  </si>
  <si>
    <t xml:space="preserve">120</t>
  </si>
  <si>
    <t xml:space="preserve">Google Ads, GA4</t>
  </si>
  <si>
    <t xml:space="preserve">120 SKUs, hamper-led and therefore heavily Q4, with no ESP and no review app detected. Seasonal concentration is the commercial conversation.</t>
  </si>
  <si>
    <t xml:space="preserve">York Cocoa Works</t>
  </si>
  <si>
    <t xml:space="preserve">yorkcocoaworks.co.uk</t>
  </si>
  <si>
    <t xml:space="preserve">Chocolate</t>
  </si>
  <si>
    <t xml:space="preserve">GA4, Klaviyo, Judge.me</t>
  </si>
  <si>
    <t xml:space="preserve">No paid tags detected.</t>
  </si>
  <si>
    <t xml:space="preserve">City-centre York brand with no paid acquisition at all going into the Q4 gifting peak. Needs the concept sold first, which is slower.</t>
  </si>
  <si>
    <t xml:space="preserve">Masons Yorkshire Gin</t>
  </si>
  <si>
    <t xml:space="preserve">masonsyorkshiregin.com</t>
  </si>
  <si>
    <t xml:space="preserve">Bedale</t>
  </si>
  <si>
    <t xml:space="preserve">Gin</t>
  </si>
  <si>
    <t xml:space="preserve">45</t>
  </si>
  <si>
    <t xml:space="preserve">Judge.me, Loox</t>
  </si>
  <si>
    <t xml:space="preserve">Google Ads, GA4, Klaviyo, Judge.me, Loox</t>
  </si>
  <si>
    <t xml:space="preserve">Two review apps doing the same job, so a straightforward cost saving. Gin is brutally Q4-concentrated, which is the strategic conversation.</t>
  </si>
  <si>
    <t xml:space="preserve">North Star Coffee</t>
  </si>
  <si>
    <t xml:space="preserve">northstarroast.com</t>
  </si>
  <si>
    <t xml:space="preserve">Coffee</t>
  </si>
  <si>
    <t xml:space="preserve">GA4, Klaviyo, Recharge, Judge.me</t>
  </si>
  <si>
    <t xml:space="preserve">No Meta or Google Ads tag detected.</t>
  </si>
  <si>
    <t xml:space="preserve">Subscription coffee with no acquisition tags detected at all. Both paid channels look dormant. Strong cohort data behind Recharge and nothing being spent to fill the top.</t>
  </si>
  <si>
    <t xml:space="preserve">North Brewing</t>
  </si>
  <si>
    <t xml:space="preserve">northbrewing.com</t>
  </si>
  <si>
    <t xml:space="preserve">GA4, Klaviyo</t>
  </si>
  <si>
    <t xml:space="preserve">Klaviyo only. No reviews and no paid tags. Retention tooling bought but no acquisition, which is an unusual order to do it in.</t>
  </si>
  <si>
    <t xml:space="preserve">Maude Coffee</t>
  </si>
  <si>
    <t xml:space="preserve">maudecoffee.co.uk</t>
  </si>
  <si>
    <t xml:space="preserve">84</t>
  </si>
  <si>
    <t xml:space="preserve">GA4 only</t>
  </si>
  <si>
    <t xml:space="preserve">84 SKUs on GA4 alone. Specialty coffee with obvious subscription potential and no measurement to support it.</t>
  </si>
  <si>
    <t xml:space="preserve">Outlaw Brew Co</t>
  </si>
  <si>
    <t xml:space="preserve">outlawbrewco.com</t>
  </si>
  <si>
    <t xml:space="preserve">3</t>
  </si>
  <si>
    <t xml:space="preserve">Only three products listed online. Too small for a retainer but a legitimate free pilot if you want a beer case study quickly.</t>
  </si>
  <si>
    <t xml:space="preserve">Grumpy Mule</t>
  </si>
  <si>
    <t xml:space="preserve">grumpymule.co.uk</t>
  </si>
  <si>
    <t xml:space="preserve">Huddersfield</t>
  </si>
  <si>
    <t xml:space="preserve">Google Ads, GA4, Klaviyo, Recharge, Judge.me, Clarity</t>
  </si>
  <si>
    <t xml:space="preserve">Coffee subscription on Recharge with a live Google tag. Cohort LTV and payback period is the natural way in, and it is the exact work you did at NI.</t>
  </si>
  <si>
    <t xml:space="preserve">Magic Rock Brewing</t>
  </si>
  <si>
    <t xml:space="preserve">magicrockbrewing.com</t>
  </si>
  <si>
    <t xml:space="preserve">173</t>
  </si>
  <si>
    <t xml:space="preserve">Google Ads, GA4, Klaviyo</t>
  </si>
  <si>
    <t xml:space="preserve">173 SKUs with a live Google tag, no review app and no Meta pixel detected. Clear channel gaps but group-owned, so the decision is slower.</t>
  </si>
  <si>
    <t xml:space="preserve">Black Sheep Brewery</t>
  </si>
  <si>
    <t xml:space="preserve">blacksheepbrewery.com</t>
  </si>
  <si>
    <t xml:space="preserve">Masham</t>
  </si>
  <si>
    <t xml:space="preserve">20</t>
  </si>
  <si>
    <t xml:space="preserve">Nationally known name with only 20 SKUs online. Post-administration rebuild means appetite for growth, but new ownership means process.</t>
  </si>
  <si>
    <t xml:space="preserve">Whittaker's Gin</t>
  </si>
  <si>
    <t xml:space="preserve">whittakersgin.com</t>
  </si>
  <si>
    <t xml:space="preserve">58</t>
  </si>
  <si>
    <t xml:space="preserve">No paid acquisition tags at all on a 58-SKU spirits catalogue heading into Q4.</t>
  </si>
  <si>
    <t xml:space="preserve">Whitby Distillery</t>
  </si>
  <si>
    <t xml:space="preserve">whitbydistillery.com</t>
  </si>
  <si>
    <t xml:space="preserve">Whitby</t>
  </si>
  <si>
    <t xml:space="preserve">Over 75 min</t>
  </si>
  <si>
    <t xml:space="preserve">42</t>
  </si>
  <si>
    <t xml:space="preserve">Google Ads, GA4, Trustpilot</t>
  </si>
  <si>
    <t xml:space="preserve">Google Ads tag live with no ESP detected. Tourist-driven brand with heavy gifting seasonality and no email capture.</t>
  </si>
  <si>
    <t xml:space="preserve">Bullion Chocolate</t>
  </si>
  <si>
    <t xml:space="preserve">bullionchocolate.com</t>
  </si>
  <si>
    <t xml:space="preserve">Sheffield</t>
  </si>
  <si>
    <t xml:space="preserve">Craft chocolate</t>
  </si>
  <si>
    <t xml:space="preserve">Google Ads, GA4, Judge.me</t>
  </si>
  <si>
    <t xml:space="preserve">Google Ads tag live, no ESP detected. Furthest from York on the shortlist.</t>
  </si>
  <si>
    <t xml:space="preserve">TOG24</t>
  </si>
  <si>
    <t xml:space="preserve">tog24.com</t>
  </si>
  <si>
    <t xml:space="preserve">Outdoor apparel</t>
  </si>
  <si>
    <t xml:space="preserve">244+</t>
  </si>
  <si>
    <t xml:space="preserve">Yotpo</t>
  </si>
  <si>
    <t xml:space="preserve">Meta pixel, Google Ads, GA4, TikTok, Triple Whale, Gorgias, Clarity</t>
  </si>
  <si>
    <t xml:space="preserve">Meta: ~100 active ads (GB). Google Ads tag live.</t>
  </si>
  <si>
    <t xml:space="preserve">Biggest confirmed spender on the list and already running Triple Whale, so they already care about attribution beyond platform ROAS. Incrementality is the only pitch that beats their incumbent.</t>
  </si>
  <si>
    <t xml:space="preserve">Theakston</t>
  </si>
  <si>
    <t xml:space="preserve">theakstons.co.uk</t>
  </si>
  <si>
    <t xml:space="preserve">85</t>
  </si>
  <si>
    <t xml:space="preserve">85 SKUs and GA4 only. No ESP, no reviews, no paid tags. Effectively a greenfield DTC operation inside a heritage family business.</t>
  </si>
  <si>
    <t xml:space="preserve">Ossett Brewery</t>
  </si>
  <si>
    <t xml:space="preserve">ossett-brewery.co.uk</t>
  </si>
  <si>
    <t xml:space="preserve">Ossett</t>
  </si>
  <si>
    <t xml:space="preserve">80</t>
  </si>
  <si>
    <t xml:space="preserve">GA4, Trustpilot</t>
  </si>
  <si>
    <t xml:space="preserve">80 SKUs, no ESP, no paid tags, with a large pub estate behind it. The estate is the reason DTC has been ignored.</t>
  </si>
  <si>
    <t xml:space="preserve">Pavers</t>
  </si>
  <si>
    <t xml:space="preserve">pavers.co.uk</t>
  </si>
  <si>
    <t xml:space="preserve">Footwear</t>
  </si>
  <si>
    <t xml:space="preserve">Trustpilot only detected</t>
  </si>
  <si>
    <t xml:space="preserve">Meta: active (celebrity creative with Nicki Chapman).</t>
  </si>
  <si>
    <t xml:space="preserve">York head office running celebrity-led Meta creative with almost no tag layer detected. Either heavily consent-gated or genuinely under-instrumented. Large business, so slow.</t>
  </si>
  <si>
    <t xml:space="preserve">Spirit of Harrogate (Slingsby)</t>
  </si>
  <si>
    <t xml:space="preserve">spiritofharrogate.co.uk</t>
  </si>
  <si>
    <t xml:space="preserve">Well-funded brand with national distribution and strong awareness, running Klaviyo only. No paid acquisition detected at all.</t>
  </si>
  <si>
    <t xml:space="preserve">Yorkshire CCC Shop</t>
  </si>
  <si>
    <t xml:space="preserve">shop.yorkshireccc.com</t>
  </si>
  <si>
    <t xml:space="preserve">Sportswear and fan retail</t>
  </si>
  <si>
    <t xml:space="preserve">Yotpo, Trustpilot</t>
  </si>
  <si>
    <t xml:space="preserve">Klaviyo, Yotpo, Trustpilot, Gorgias</t>
  </si>
  <si>
    <t xml:space="preserve">Strong retention stack and zero acquisition tags. Fan-base retail with predictable seasonal peaks, but a club committee is a slow buyer.</t>
  </si>
  <si>
    <t xml:space="preserve">Bettys</t>
  </si>
  <si>
    <t xml:space="preserve">bettys.co.uk</t>
  </si>
  <si>
    <t xml:space="preserve">Food, gifting, tea rooms</t>
  </si>
  <si>
    <t xml:space="preserve">Magento 2 (Adobe Commerce)</t>
  </si>
  <si>
    <t xml:space="preserve">Klaviyo (Dotdigital legacy)</t>
  </si>
  <si>
    <t xml:space="preserve">Trustpilot + auto-invite</t>
  </si>
  <si>
    <t xml:space="preserve">GTM-M7QN3RD, Klaviyo, Nosto, Nosto Stackla, Klevu, Criteo, DoubleClick, Pinterest, Zendesk, Cookiebot, PayPal</t>
  </si>
  <si>
    <t xml:space="preserve">Meta: 357 ads running. Google: ~200 ads as Bettys &amp; Taylors of Harrogate Ltd.</t>
  </si>
  <si>
    <t xml:space="preserve">Nothing to lead with. Enterprise stack, entrenched suppliers, long procurement. Value here is competitive intelligence and a regional credibility reference, not a pitch.</t>
  </si>
  <si>
    <t xml:space="preserve">Silver Cross</t>
  </si>
  <si>
    <t xml:space="preserve">silvercrossbaby.com</t>
  </si>
  <si>
    <t xml:space="preserve">Skipton</t>
  </si>
  <si>
    <t xml:space="preserve">Prams and nursery</t>
  </si>
  <si>
    <t xml:space="preserve">Google Ads, Clarity</t>
  </si>
  <si>
    <t xml:space="preserve">Not confirmed; keyword search too noisy.</t>
  </si>
  <si>
    <t xml:space="preserve">Heritage brand on Shopify with a very thin detected tag layer and a live Google Ads tag. Outside the vertical and a slow buyer.</t>
  </si>
  <si>
    <t xml:space="preserve">Mamas &amp; Papas</t>
  </si>
  <si>
    <t xml:space="preserve">mamasandpapas.com</t>
  </si>
  <si>
    <t xml:space="preserve">Baby and nursery</t>
  </si>
  <si>
    <t xml:space="preserve">GA4, Klaviyo, Trustpilot, Clarity</t>
  </si>
  <si>
    <t xml:space="preserve">Not confirmed via keyword search; almost certainly advertising.</t>
  </si>
  <si>
    <t xml:space="preserve">Large Shopify retailer with no Meta or Google Ads tag detected on the homepage, which is worth a second look given their size. Outside the vertical and a slow buyer.</t>
  </si>
  <si>
    <t xml:space="preserve">Legend</t>
  </si>
  <si>
    <t xml:space="preserve">• Yellow cells are scoring inputs (1-3). Edit them and the scores recalculate. Weights live on the 'Scoring model' tab.</t>
  </si>
  <si>
    <t xml:space="preserve">• SPEED SCORE ranks how fast you can sign someone and start testing. Use this one now. Max 33.</t>
  </si>
  <si>
    <t xml:space="preserve">• VALUE SCORE ranks how much a client is worth. It reads 'Pending pay data' until you fill P2 Ability to pay from Companies House. Max 30.</t>
  </si>
  <si>
    <t xml:space="preserve">• Budget status: 'Live budget' means take over existing spend. 'Tag only' means a tag is installed but no ads were found. 'No paid detected' means you would have to sell the concept of paid media first, which is a much longer sale.</t>
  </si>
  <si>
    <t xml:space="preserve">• Example row: Status = 'Emailed 22 Sep', Next action = 'Follow up 29 Sep with pixel audit'.</t>
  </si>
  <si>
    <t xml:space="preserve">Phase 1 shortlist — get one client, any size</t>
  </si>
  <si>
    <t xml:space="preserve">Top 11 by Speed score. Ability to pay is deliberately ignored here. Two or three of these should be run as free or near-free pilots to produce case studies, one in beer and one in coffee, because credibility does not transfer between categories.</t>
  </si>
  <si>
    <t xml:space="preserve">Rank</t>
  </si>
  <si>
    <t xml:space="preserve">Speed score</t>
  </si>
  <si>
    <t xml:space="preserve">Why this one</t>
  </si>
  <si>
    <t xml:space="preserve">Opening line</t>
  </si>
  <si>
    <t xml:space="preserve">Known risk</t>
  </si>
  <si>
    <t xml:space="preserve">York-based, owner-managed, and the single best verified finding on the list.</t>
  </si>
  <si>
    <t xml:space="preserve">You have two Meta pixel implementations running at once, facebook-for-woocommerce and PixelYourSite. Every event is being counted twice, so your reported conversions and ROAS are inflated. Separately you have a live Google Ads conversion tag, AW-10805529416, and zero ads running against it.</t>
  </si>
  <si>
    <t xml:space="preserve">WooCommerce not Shopify, and net current liabilities of -GBP 83,324 at 31 Mar 2025. They will be price-sensitive. Treat as a paid pilot at a low number.</t>
  </si>
  <si>
    <t xml:space="preserve">Confirmed Meta spend, Recharge subscription, and a whole channel untouched.</t>
  </si>
  <si>
    <t xml:space="preserve">You're active on Meta but I can't find a Google Ads conversion tag. On a subscription product, non-brand search is usually the cheapest incremental customer you are not currently buying.</t>
  </si>
  <si>
    <t xml:space="preserve">Larger and better resourced than the rest of the list, so more likely to have someone internal already.</t>
  </si>
  <si>
    <t xml:space="preserve">Confirmed Meta spend with an apparent tracking gap underneath it.</t>
  </si>
  <si>
    <t xml:space="preserve">You launched Life &amp; Death on Meta this month, but I can't detect a Meta pixel on your homepage. If that's consent gating it's a signal-loss question. If it isn't, you're optimising blind.</t>
  </si>
  <si>
    <t xml:space="preserve">Verify in a consented browser session before you say this out loud. Cookiebot-style gating produces exactly this false positive.</t>
  </si>
  <si>
    <t xml:space="preserve">York, active on Meta, and you already hold the competitive picture.</t>
  </si>
  <si>
    <t xml:space="preserve">You and Yorkshire Soap are the two York names in this category. They went dark on paid in early September. Here is what they were running and where the gap is now.</t>
  </si>
  <si>
    <t xml:space="preserve">Outside the coffee and beer vertical, so it does not build category credibility. Take it for cash flow and process testing, not for the case study.</t>
  </si>
  <si>
    <t xml:space="preserve">Under 45 minutes, subscription business, obvious missing layer.</t>
  </si>
  <si>
    <t xml:space="preserve">You're running a Recharge subscription with no email platform I can detect. Subscription economics live or die on retention, and retention is what lets you outbid everyone on acquisition.</t>
  </si>
  <si>
    <t xml:space="preserve">Small catalogue at 39 SKUs. Budget likely modest.</t>
  </si>
  <si>
    <t xml:space="preserve">York, both pixels live, nothing capturing the traffic.</t>
  </si>
  <si>
    <t xml:space="preserve">You have both a Meta pixel and a Google Ads tag installed, and no email capture I can see. You're paying to bring people in and letting them leave unrecorded.</t>
  </si>
  <si>
    <t xml:space="preserve">Small business, alcohol category, so Shop channel is closed to them and Meta needs permissions.</t>
  </si>
  <si>
    <t xml:space="preserve">Under 45 minutes and the seasonal timing is right now.</t>
  </si>
  <si>
    <t xml:space="preserve">Your Google Ads tag is live and hamper season starts in about six weeks. Worth knowing whether last Q4's spend actually produced incremental orders before you commit this year's.</t>
  </si>
  <si>
    <t xml:space="preserve">29 SKUs, small budget, and Q4-only relevance.</t>
  </si>
  <si>
    <t xml:space="preserve">Both acquisition pixels live with no retention layer at all.</t>
  </si>
  <si>
    <t xml:space="preserve">You've got Meta and Google tags installed and no email platform and no review app. The acquisition is built and nothing is catching what it brings in.</t>
  </si>
  <si>
    <t xml:space="preserve">Ads not confirmed in the library, so the spend may be zero. Check before the call.</t>
  </si>
  <si>
    <t xml:space="preserve">The canonical Yorkshire brewery stack, so the audit is reusable.</t>
  </si>
  <si>
    <t xml:space="preserve">Shopify, Klaviyo, Judge.me, a live Google tag, no Meta pixel and no subscription. That exact combination shows up across most Yorkshire breweries and it has a predictable set of leaks.</t>
  </si>
  <si>
    <t xml:space="preserve">Nothing distinctive to lead with. This is a volume play, not a targeted one.</t>
  </si>
  <si>
    <t xml:space="preserve">Same stack as Saltaire, so the second audit is near-free to produce.</t>
  </si>
  <si>
    <t xml:space="preserve">Same opener as Saltaire. Run them in the same week and reuse the template.</t>
  </si>
  <si>
    <t xml:space="preserve">As above.</t>
  </si>
  <si>
    <t xml:space="preserve">Zero tags of any kind. The fastest possible clean win.</t>
  </si>
  <si>
    <t xml:space="preserve">You have a live Shopify store with no analytics, no pixel and no tags of any kind. Right now there is no way to know which of your orders came from where.</t>
  </si>
  <si>
    <t xml:space="preserve">Almost certainly the smallest budget on the list. Run this one free in exchange for a case study and a reference.</t>
  </si>
  <si>
    <t xml:space="preserve">Sequencing note</t>
  </si>
  <si>
    <t xml:space="preserve">• Land one beer client and one coffee client before anything else. A coffee roaster will not be persuaded by a brewery case study.</t>
  </si>
  <si>
    <t xml:space="preserve">• Yorkshire has roughly 21 breweries and 5 coffee roasters across all three tabs. The beer half is a local play; the coffee half has to run national from the start.</t>
  </si>
  <si>
    <t xml:space="preserve">• The three diagnostics that are already proven and repeatable: duplicate pixel firing, conversion tag installed with zero ads running, and Meta ads running with no detectable pixel. All three are verifiable from outside and cost the merchant money today.</t>
  </si>
  <si>
    <t xml:space="preserve">• Alcohol clients: Shop channel is closed to them entirely, Meta needs alcohol permissions and age targeting, and Google's alcohol certification regime starts 30 Sep 2026. Generalist agencies avoid this, which is why it is worth learning once.</t>
  </si>
  <si>
    <t xml:space="preserve">Checked and not Shopify</t>
  </si>
  <si>
    <t xml:space="preserve">Still viable as agency clients, just not platform fits. Several are migration candidates, which is a second revenue line. Note that two of the five Yorkshire coffee roasters are here.</t>
  </si>
  <si>
    <t xml:space="preserve">Note</t>
  </si>
  <si>
    <t xml:space="preserve">York Gin</t>
  </si>
  <si>
    <t xml:space="preserve">yorkgin.com</t>
  </si>
  <si>
    <t xml:space="preserve">BigCommerce</t>
  </si>
  <si>
    <t xml:space="preserve">Meta pixel and Google Ads both live</t>
  </si>
  <si>
    <t xml:space="preserve">Yorkshire Soap Company</t>
  </si>
  <si>
    <t xml:space="preserve">yorkshiresoap.co.uk</t>
  </si>
  <si>
    <t xml:space="preserve">Paid went dark early Sep 2026</t>
  </si>
  <si>
    <t xml:space="preserve">Cooper King Distillery</t>
  </si>
  <si>
    <t xml:space="preserve">cooperkingdistillery.co.uk</t>
  </si>
  <si>
    <t xml:space="preserve">Squarespace</t>
  </si>
  <si>
    <t xml:space="preserve">Meta pixel live</t>
  </si>
  <si>
    <t xml:space="preserve">Brass Castle Brewery</t>
  </si>
  <si>
    <t xml:space="preserve">brasscastle.co.uk</t>
  </si>
  <si>
    <t xml:space="preserve">Malton</t>
  </si>
  <si>
    <t xml:space="preserve">Wensleydale Creamery</t>
  </si>
  <si>
    <t xml:space="preserve">wensleydale.co.uk</t>
  </si>
  <si>
    <t xml:space="preserve">Hawes</t>
  </si>
  <si>
    <t xml:space="preserve">Visualsoft</t>
  </si>
  <si>
    <t xml:space="preserve">Meta, Google Ads and Trustpilot all live</t>
  </si>
  <si>
    <t xml:space="preserve">Accent Clothing</t>
  </si>
  <si>
    <t xml:space="preserve">accentclothing.com</t>
  </si>
  <si>
    <t xml:space="preserve">Meta and Google Ads live</t>
  </si>
  <si>
    <t xml:space="preserve">Beer Hawk</t>
  </si>
  <si>
    <t xml:space="preserve">beerhawk.co.uk</t>
  </si>
  <si>
    <t xml:space="preserve">Knaresborough</t>
  </si>
  <si>
    <t xml:space="preserve">Magento</t>
  </si>
  <si>
    <t xml:space="preserve">Owned by AB InBev, will have a global agency</t>
  </si>
  <si>
    <t xml:space="preserve">Yorkshire Rapeseed Oil</t>
  </si>
  <si>
    <t xml:space="preserve">yorkshirerapeseedoil.co.uk</t>
  </si>
  <si>
    <t xml:space="preserve">Farrah's of Harrogate</t>
  </si>
  <si>
    <t xml:space="preserve">farrahs.com</t>
  </si>
  <si>
    <t xml:space="preserve">Fodder</t>
  </si>
  <si>
    <t xml:space="preserve">fodder.co.uk</t>
  </si>
  <si>
    <t xml:space="preserve">Leeds Brewery</t>
  </si>
  <si>
    <t xml:space="preserve">leedsbrewery.co.uk</t>
  </si>
  <si>
    <t xml:space="preserve">Turning Point Brew Co</t>
  </si>
  <si>
    <t xml:space="preserve">turningpointbrewco.com</t>
  </si>
  <si>
    <t xml:space="preserve">Wix</t>
  </si>
  <si>
    <t xml:space="preserve">Abbeydale Brewery</t>
  </si>
  <si>
    <t xml:space="preserve">abbeydalebrewery.co.uk</t>
  </si>
  <si>
    <t xml:space="preserve">Roost Coffee</t>
  </si>
  <si>
    <t xml:space="preserve">roostcoffee.co.uk</t>
  </si>
  <si>
    <t xml:space="preserve">COFFEE — one of only five in the region</t>
  </si>
  <si>
    <t xml:space="preserve">Yorkshire Pasta Co</t>
  </si>
  <si>
    <t xml:space="preserve">yorkshirepasta.co.uk</t>
  </si>
  <si>
    <t xml:space="preserve">Klaviyo live</t>
  </si>
  <si>
    <t xml:space="preserve">Hepworth Brewery</t>
  </si>
  <si>
    <t xml:space="preserve">hepworthbrewery.co.uk</t>
  </si>
  <si>
    <t xml:space="preserve">Yorkshire</t>
  </si>
  <si>
    <t xml:space="preserve">Northern Bloc</t>
  </si>
  <si>
    <t xml:space="preserve">northern-bloc.com</t>
  </si>
  <si>
    <t xml:space="preserve">WordPress</t>
  </si>
  <si>
    <t xml:space="preserve">Casa Espresso</t>
  </si>
  <si>
    <t xml:space="preserve">casaespresso.co.uk</t>
  </si>
  <si>
    <t xml:space="preserve">Bradford</t>
  </si>
  <si>
    <t xml:space="preserve">Yorkshire Crisps</t>
  </si>
  <si>
    <t xml:space="preserve">yorkshirecrisps.co.uk</t>
  </si>
  <si>
    <t xml:space="preserve">Blocked by bot protection — worth a manual look</t>
  </si>
  <si>
    <t xml:space="preserve">What we saw</t>
  </si>
  <si>
    <t xml:space="preserve">Yorkshire Tea / Taylors</t>
  </si>
  <si>
    <t xml:space="preserve">yorkshiretea.co.uk</t>
  </si>
  <si>
    <t xml:space="preserve">Challenge page, no fingerprints returned</t>
  </si>
  <si>
    <t xml:space="preserve">Taylors of Harrogate</t>
  </si>
  <si>
    <t xml:space="preserve">taylorsofharrogate.com</t>
  </si>
  <si>
    <t xml:space="preserve">Challenge page</t>
  </si>
  <si>
    <t xml:space="preserve">Wold Top Brewery</t>
  </si>
  <si>
    <t xml:space="preserve">woldtopbrewery.co.uk</t>
  </si>
  <si>
    <t xml:space="preserve">Driffield</t>
  </si>
  <si>
    <t xml:space="preserve">GA4 and Klaviyo both fired but no platform fingerprint</t>
  </si>
  <si>
    <t xml:space="preserve">Pimoroni</t>
  </si>
  <si>
    <t xml:space="preserve">pimoroni.com</t>
  </si>
  <si>
    <t xml:space="preserve">Challenge page. Large electronics retailer</t>
  </si>
  <si>
    <t xml:space="preserve">The Hip Store</t>
  </si>
  <si>
    <t xml:space="preserve">thehipstore.co.uk</t>
  </si>
  <si>
    <t xml:space="preserve">Timothy Taylor</t>
  </si>
  <si>
    <t xml:space="preserve">timothytaylor.co.uk</t>
  </si>
  <si>
    <t xml:space="preserve">Keighley</t>
  </si>
  <si>
    <t xml:space="preserve">GA4 only detected</t>
  </si>
  <si>
    <t xml:space="preserve">Henderson's Relish</t>
  </si>
  <si>
    <t xml:space="preserve">hendersonsrelish.com</t>
  </si>
  <si>
    <t xml:space="preserve">Botham's of Whitby</t>
  </si>
  <si>
    <t xml:space="preserve">botham.co.uk</t>
  </si>
  <si>
    <t xml:space="preserve">Lewis &amp; Cooper</t>
  </si>
  <si>
    <t xml:space="preserve">lewisandcooper.co.uk</t>
  </si>
  <si>
    <t xml:space="preserve">Northallerton</t>
  </si>
  <si>
    <t xml:space="preserve">Kirkstall Brewery</t>
  </si>
  <si>
    <t xml:space="preserve">kirkstallbrewery.com</t>
  </si>
  <si>
    <t xml:space="preserve">Chevin Cycles</t>
  </si>
  <si>
    <t xml:space="preserve">chevincycles.com</t>
  </si>
  <si>
    <t xml:space="preserve">Otley</t>
  </si>
  <si>
    <t xml:space="preserve">Google Ads and GA4 detected, platform unclear</t>
  </si>
  <si>
    <t xml:space="preserve">Yorkshire Trading Co</t>
  </si>
  <si>
    <t xml:space="preserve">yorkshiretrading.com</t>
  </si>
  <si>
    <t xml:space="preserve">Method and sources</t>
  </si>
  <si>
    <t xml:space="preserve">Date of research: 21 September 2026. All findings are a point-in-time snapshot.</t>
  </si>
  <si>
    <t xml:space="preserve">Platform detection</t>
  </si>
  <si>
    <t xml:space="preserve">Each homepage fetched and fingerprinted for platform markers (cdn.shopify.com and /cdn/shop/ for Shopify, Magento_Ui and /static/frontend/ for Magento, wp-content/plugins/woocommerce for WooCommerce). Shopify additionally confirmed where possible via /products.json and /cart.js, which only Shopify serves.</t>
  </si>
  <si>
    <t xml:space="preserve">SKU counts</t>
  </si>
  <si>
    <t xml:space="preserve">Taken from /products.json (capped at 250 per request) or the product sitemap. A blank means the endpoint was unavailable, not that the catalogue is small.</t>
  </si>
  <si>
    <t xml:space="preserve">Martech detection</t>
  </si>
  <si>
    <t xml:space="preserve">Regex over rendered homepage HTML for known vendor script hosts and tag ID patterns (GTM-, G-, AW-).</t>
  </si>
  <si>
    <t xml:space="preserve">Subscription assigned where a subscription app (Recharge) was detected. Absence of a detected subscription app is recorded as Transactional, which may understate the count: some subscription implementations are native or custom and leave no homepage fingerprint.</t>
  </si>
  <si>
    <t xml:space="preserve">IMPORTANT CAVEAT</t>
  </si>
  <si>
    <t xml:space="preserve">Consent management platforms block tags until a visitor accepts cookies. A tag recorded as 'not detected' may simply be gated. Bettys is a confirmed example, its Meta pixel does not fire before Cookiebot consent. Treat 'not detected' as a question to ask, not a finding to assert in a pitch.</t>
  </si>
  <si>
    <t xml:space="preserve">Deep dives</t>
  </si>
  <si>
    <t xml:space="preserve">Bettys and Brew York were behind bot protection (Imperva/Incapsula and an anti-bot challenge) and were inspected in a real browser session instead.</t>
  </si>
  <si>
    <t xml:space="preserve">Paid media verification</t>
  </si>
  <si>
    <t xml:space="preserve">Meta Ad Library — https://www.facebook.com/ads/library/  |  Google Ads Transparency Center — https://adstransparency.google.com/</t>
  </si>
  <si>
    <t xml:space="preserve">Company data</t>
  </si>
  <si>
    <t xml:space="preserve">Companies House. Brew York Limited 09607690, accounts to 31 March 2025 filed 24 December 2025: 98 employees (prior year 78), net assets GBP 579,591, cash GBP 238,666, net current liabilities NEGATIVE GBP 83,324 versus positive GBP 241,438 the year before, short-term creditors GBP 1,226,201 up 52%. Bettys &amp; Taylors Group Ltd 00500829. Brew York figures are from filleted small-company accounts, which omit the profit and loss statement, so turnover is not disclosed and is not estimated here.</t>
  </si>
  <si>
    <t xml:space="preserve">OUTSTANDING WORK</t>
  </si>
  <si>
    <t xml:space="preserve">P2 Ability to pay is unfilled for all 33 prospects. Scripted pass against the Companies House API for employee count, net assets and creditors. This is the only variable not yet measured and it determines which prospects can actually pay a retainer.</t>
  </si>
  <si>
    <t xml:space="preserve">Estimated monthly spend not captured. Ad Library active-ad volume and creative refresh rate give a usable band. TOG24 at ~100 active ads is a different proposition from Vocation at one campaign.</t>
  </si>
  <si>
    <t xml:space="preserve">Incumbent agency not captured. Creative quality and production patterns in the Ad Library indicate whether someone competent is already on the account.</t>
  </si>
  <si>
    <t xml:space="preserve">Alcohol compliance</t>
  </si>
  <si>
    <t xml:space="preserve">Alcohol is prohibited on the Shopify Shop channel (help.shopify.com, prohibited products on Shop). Meta requires alcohol advertising permissions and age targeting. Google's revised alcohol advertising policy takes effect 30 September 2026 and introduces certification requirements. 17 of the 33 prospects are alcohol brands.</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</si>
</sst>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name val="Arial"/>
      <family val="0"/>
      <charset val="1"/>
    </font>
    <font>
      <b val="true"/>
      <sz val="10"/>
      <color rgb="FF2F3E46"/>
      <name val="Arial"/>
      <family val="0"/>
      <charset val="1"/>
    </font>
    <font>
      <b val="true"/>
      <sz val="10"/>
      <color rgb="FFC00000"/>
      <name val="Arial"/>
      <family val="0"/>
      <charset val="1"/>
    </font>
  </fonts>
  <fills count="7">
    <fill>
      <patternFill patternType="none"/>
    </fill>
    <fill>
      <patternFill patternType="gray125"/>
    </fill>
    <fill>
      <patternFill patternType="solid">
        <fgColor rgb="FF2F3E46"/>
        <bgColor rgb="FF333300"/>
      </patternFill>
    </fill>
    <fill>
      <patternFill patternType="solid">
        <fgColor rgb="FFFFFF00"/>
        <bgColor rgb="FFFFFF00"/>
      </patternFill>
    </fill>
    <fill>
      <patternFill patternType="solid">
        <fgColor rgb="FFE8A0A8"/>
        <bgColor rgb="FFFF8080"/>
      </patternFill>
    </fill>
    <fill>
      <patternFill patternType="solid">
        <fgColor rgb="FFD9EAD3"/>
        <bgColor rgb="FFEFEFEF"/>
      </patternFill>
    </fill>
    <fill>
      <patternFill patternType="solid">
        <fgColor rgb="FFEFEFEF"/>
        <bgColor rgb="FFD9EAD3"/>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5" fontId="10" fillId="5" borderId="1" xfId="0" applyFont="true" applyBorder="true" applyAlignment="true" applyProtection="false">
      <alignment horizontal="center" vertical="top" textRotation="0" wrapText="false" indent="0" shrinkToFit="false"/>
      <protection locked="true" hidden="false"/>
    </xf>
    <xf numFmtId="164" fontId="10" fillId="6"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F3E46"/>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D9EAD3"/>
          <bgColor rgb="FF000000"/>
        </patternFill>
      </fill>
    </dxf>
    <dxf>
      <fill>
        <patternFill patternType="solid">
          <fgColor rgb="FFE8A0A8"/>
          <bgColor rgb="FF000000"/>
        </patternFill>
      </fill>
    </dxf>
    <dxf>
      <fill>
        <patternFill patternType="solid">
          <fgColor rgb="FFEFEFE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EFEFE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E8A0A8"/>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2F3E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4" min="3" style="0" width="34"/>
    <col collapsed="false" customWidth="true" hidden="false" outlineLevel="0" max="5" min="5" style="0" width="36"/>
    <col collapsed="false" customWidth="true" hidden="false" outlineLevel="0" max="6" min="6" style="0" width="14"/>
  </cols>
  <sheetData>
    <row r="1" customFormat="false" ht="17.35" hidden="false" customHeight="false" outlineLevel="0" collapsed="false">
      <c r="A1" s="1" t="s">
        <v>0</v>
      </c>
    </row>
    <row r="2" customFormat="false" ht="15" hidden="false" customHeight="false" outlineLevel="0" collapsed="false">
      <c r="A2" s="2" t="s">
        <v>1</v>
      </c>
      <c r="B2" s="2"/>
      <c r="C2" s="2"/>
      <c r="D2" s="2"/>
      <c r="E2" s="2"/>
      <c r="F2" s="2"/>
    </row>
    <row r="4" customFormat="false" ht="15" hidden="false" customHeight="false" outlineLevel="0" collapsed="false">
      <c r="A4" s="3" t="s">
        <v>2</v>
      </c>
    </row>
    <row r="5" customFormat="false" ht="15" hidden="false" customHeight="false" outlineLevel="0" collapsed="false">
      <c r="A5" s="2" t="s">
        <v>3</v>
      </c>
      <c r="B5" s="2"/>
      <c r="C5" s="2"/>
      <c r="D5" s="2"/>
      <c r="E5" s="2"/>
      <c r="F5" s="2"/>
    </row>
    <row r="7" customFormat="false" ht="15" hidden="false" customHeight="false" outlineLevel="0" collapsed="false">
      <c r="A7" s="4" t="s">
        <v>4</v>
      </c>
      <c r="B7" s="4" t="s">
        <v>5</v>
      </c>
      <c r="C7" s="4" t="s">
        <v>6</v>
      </c>
      <c r="D7" s="4" t="s">
        <v>7</v>
      </c>
      <c r="E7" s="4" t="s">
        <v>8</v>
      </c>
    </row>
    <row r="8" customFormat="false" ht="15" hidden="false" customHeight="false" outlineLevel="0" collapsed="false">
      <c r="A8" s="5" t="s">
        <v>9</v>
      </c>
      <c r="B8" s="6" t="n">
        <v>3</v>
      </c>
      <c r="C8" s="5" t="s">
        <v>10</v>
      </c>
      <c r="D8" s="5" t="s">
        <v>11</v>
      </c>
      <c r="E8" s="5" t="s">
        <v>12</v>
      </c>
    </row>
    <row r="9" customFormat="false" ht="15" hidden="false" customHeight="false" outlineLevel="0" collapsed="false">
      <c r="A9" s="5" t="s">
        <v>13</v>
      </c>
      <c r="B9" s="6" t="n">
        <v>2.5</v>
      </c>
      <c r="C9" s="5" t="s">
        <v>14</v>
      </c>
      <c r="D9" s="5" t="s">
        <v>15</v>
      </c>
      <c r="E9" s="5" t="s">
        <v>16</v>
      </c>
    </row>
    <row r="10" customFormat="false" ht="15" hidden="false" customHeight="false" outlineLevel="0" collapsed="false">
      <c r="A10" s="5" t="s">
        <v>17</v>
      </c>
      <c r="B10" s="6" t="n">
        <v>2</v>
      </c>
      <c r="C10" s="5" t="s">
        <v>18</v>
      </c>
      <c r="D10" s="5" t="s">
        <v>19</v>
      </c>
      <c r="E10" s="5" t="s">
        <v>20</v>
      </c>
    </row>
    <row r="11" customFormat="false" ht="15" hidden="false" customHeight="false" outlineLevel="0" collapsed="false">
      <c r="A11" s="5" t="s">
        <v>21</v>
      </c>
      <c r="B11" s="6" t="n">
        <v>2</v>
      </c>
      <c r="C11" s="5" t="s">
        <v>22</v>
      </c>
      <c r="D11" s="5" t="s">
        <v>23</v>
      </c>
      <c r="E11" s="5" t="s">
        <v>24</v>
      </c>
    </row>
    <row r="12" customFormat="false" ht="15" hidden="false" customHeight="false" outlineLevel="0" collapsed="false">
      <c r="A12" s="5" t="s">
        <v>25</v>
      </c>
      <c r="B12" s="6" t="n">
        <v>1.5</v>
      </c>
      <c r="C12" s="5" t="s">
        <v>26</v>
      </c>
      <c r="D12" s="5" t="s">
        <v>27</v>
      </c>
      <c r="E12" s="5" t="s">
        <v>28</v>
      </c>
    </row>
    <row r="13" customFormat="false" ht="15" hidden="false" customHeight="false" outlineLevel="0" collapsed="false">
      <c r="A13" s="7" t="s">
        <v>29</v>
      </c>
      <c r="B13" s="7" t="n">
        <f aca="false">SUM(B8:B12)*3</f>
        <v>33</v>
      </c>
    </row>
    <row r="16" customFormat="false" ht="15" hidden="false" customHeight="false" outlineLevel="0" collapsed="false">
      <c r="A16" s="3" t="s">
        <v>30</v>
      </c>
    </row>
    <row r="17" customFormat="false" ht="15" hidden="false" customHeight="false" outlineLevel="0" collapsed="false">
      <c r="A17" s="2" t="s">
        <v>31</v>
      </c>
      <c r="B17" s="2"/>
      <c r="C17" s="2"/>
      <c r="D17" s="2"/>
      <c r="E17" s="2"/>
      <c r="F17" s="2"/>
    </row>
    <row r="19" customFormat="false" ht="15" hidden="false" customHeight="false" outlineLevel="0" collapsed="false">
      <c r="A19" s="4" t="s">
        <v>4</v>
      </c>
      <c r="B19" s="4" t="s">
        <v>5</v>
      </c>
      <c r="C19" s="4" t="s">
        <v>6</v>
      </c>
      <c r="D19" s="4" t="s">
        <v>7</v>
      </c>
      <c r="E19" s="4" t="s">
        <v>8</v>
      </c>
    </row>
    <row r="20" customFormat="false" ht="15" hidden="false" customHeight="false" outlineLevel="0" collapsed="false">
      <c r="A20" s="5" t="s">
        <v>32</v>
      </c>
      <c r="B20" s="6" t="n">
        <v>3</v>
      </c>
      <c r="C20" s="5" t="s">
        <v>33</v>
      </c>
      <c r="D20" s="5" t="s">
        <v>34</v>
      </c>
      <c r="E20" s="5" t="s">
        <v>35</v>
      </c>
    </row>
    <row r="21" customFormat="false" ht="15" hidden="false" customHeight="false" outlineLevel="0" collapsed="false">
      <c r="A21" s="5" t="s">
        <v>36</v>
      </c>
      <c r="B21" s="6" t="n">
        <v>2</v>
      </c>
      <c r="C21" s="5" t="s">
        <v>37</v>
      </c>
      <c r="D21" s="5" t="s">
        <v>38</v>
      </c>
      <c r="E21" s="5" t="s">
        <v>39</v>
      </c>
    </row>
    <row r="22" customFormat="false" ht="15" hidden="false" customHeight="false" outlineLevel="0" collapsed="false">
      <c r="A22" s="5" t="s">
        <v>40</v>
      </c>
      <c r="B22" s="6" t="n">
        <v>1.5</v>
      </c>
      <c r="C22" s="5" t="s">
        <v>41</v>
      </c>
      <c r="D22" s="5" t="s">
        <v>42</v>
      </c>
      <c r="E22" s="5" t="s">
        <v>43</v>
      </c>
    </row>
    <row r="23" customFormat="false" ht="15" hidden="false" customHeight="false" outlineLevel="0" collapsed="false">
      <c r="A23" s="5" t="s">
        <v>44</v>
      </c>
      <c r="B23" s="6" t="n">
        <v>2</v>
      </c>
      <c r="C23" s="5" t="s">
        <v>45</v>
      </c>
      <c r="D23" s="5" t="s">
        <v>46</v>
      </c>
      <c r="E23" s="5" t="s">
        <v>47</v>
      </c>
    </row>
    <row r="24" customFormat="false" ht="15" hidden="false" customHeight="false" outlineLevel="0" collapsed="false">
      <c r="A24" s="5" t="s">
        <v>48</v>
      </c>
      <c r="B24" s="6" t="n">
        <v>1.5</v>
      </c>
      <c r="C24" s="5" t="s">
        <v>49</v>
      </c>
      <c r="D24" s="5" t="s">
        <v>50</v>
      </c>
      <c r="E24" s="5" t="s">
        <v>51</v>
      </c>
    </row>
    <row r="25" customFormat="false" ht="15" hidden="false" customHeight="false" outlineLevel="0" collapsed="false">
      <c r="A25" s="7" t="s">
        <v>52</v>
      </c>
      <c r="B25" s="7" t="n">
        <f aca="false">SUM(B20:B24)*3</f>
        <v>30</v>
      </c>
    </row>
    <row r="28" customFormat="false" ht="15" hidden="false" customHeight="false" outlineLevel="0" collapsed="false">
      <c r="A28" s="3" t="s">
        <v>53</v>
      </c>
    </row>
    <row r="29" customFormat="false" ht="15" hidden="false" customHeight="false" outlineLevel="0" collapsed="false">
      <c r="A29" s="8" t="s">
        <v>54</v>
      </c>
      <c r="B29" s="8"/>
      <c r="C29" s="8"/>
      <c r="D29" s="8"/>
      <c r="E29" s="8"/>
      <c r="F29" s="8"/>
    </row>
    <row r="30" customFormat="false" ht="15" hidden="false" customHeight="false" outlineLevel="0" collapsed="false">
      <c r="A30" s="8" t="s">
        <v>55</v>
      </c>
      <c r="B30" s="8"/>
      <c r="C30" s="8"/>
      <c r="D30" s="8"/>
      <c r="E30" s="8"/>
      <c r="F30" s="8"/>
    </row>
    <row r="31" customFormat="false" ht="15" hidden="false" customHeight="false" outlineLevel="0" collapsed="false">
      <c r="A31" s="8" t="s">
        <v>56</v>
      </c>
      <c r="B31" s="8"/>
      <c r="C31" s="8"/>
      <c r="D31" s="8"/>
      <c r="E31" s="8"/>
      <c r="F31" s="8"/>
    </row>
    <row r="32" customFormat="false" ht="15" hidden="false" customHeight="false" outlineLevel="0" collapsed="false">
      <c r="A32" s="8" t="s">
        <v>57</v>
      </c>
      <c r="B32" s="8"/>
      <c r="C32" s="8"/>
      <c r="D32" s="8"/>
      <c r="E32" s="8"/>
      <c r="F32" s="8"/>
    </row>
    <row r="33" customFormat="false" ht="15" hidden="false" customHeight="false" outlineLevel="0" collapsed="false">
      <c r="A33" s="8" t="s">
        <v>58</v>
      </c>
      <c r="B33" s="8"/>
      <c r="C33" s="8"/>
      <c r="D33" s="8"/>
      <c r="E33" s="8"/>
      <c r="F33" s="8"/>
    </row>
    <row r="34" customFormat="false" ht="15" hidden="false" customHeight="false" outlineLevel="0" collapsed="false">
      <c r="A34" s="8" t="s">
        <v>59</v>
      </c>
      <c r="B34" s="8"/>
      <c r="C34" s="8"/>
      <c r="D34" s="8"/>
      <c r="E34" s="8"/>
      <c r="F34" s="8"/>
    </row>
    <row r="35" customFormat="false" ht="15" hidden="false" customHeight="false" outlineLevel="0" collapsed="false">
      <c r="A35" s="8" t="s">
        <v>60</v>
      </c>
      <c r="B35" s="8"/>
      <c r="C35" s="8"/>
      <c r="D35" s="8"/>
      <c r="E35" s="8"/>
      <c r="F35" s="8"/>
    </row>
  </sheetData>
  <mergeCells count="10">
    <mergeCell ref="A2:F2"/>
    <mergeCell ref="A5:F5"/>
    <mergeCell ref="A17:F17"/>
    <mergeCell ref="A29:F29"/>
    <mergeCell ref="A30:F30"/>
    <mergeCell ref="A31:F31"/>
    <mergeCell ref="A32:F32"/>
    <mergeCell ref="A33:F33"/>
    <mergeCell ref="A34:F34"/>
    <mergeCell ref="A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14"/>
    <col collapsed="false" customWidth="true" hidden="false" outlineLevel="0" max="4" min="4" style="0" width="15"/>
    <col collapsed="false" customWidth="true" hidden="false" outlineLevel="0" max="5" min="5" style="0" width="20"/>
    <col collapsed="false" customWidth="true" hidden="false" outlineLevel="0" max="6" min="6" style="0" width="9"/>
    <col collapsed="false" customWidth="true" hidden="false" outlineLevel="0" max="7" min="7" style="0" width="16"/>
    <col collapsed="false" customWidth="true" hidden="false" outlineLevel="0" max="8" min="8" style="0" width="17"/>
    <col collapsed="false" customWidth="true" hidden="false" outlineLevel="0" max="9" min="9" style="0" width="22"/>
    <col collapsed="false" customWidth="true" hidden="false" outlineLevel="0" max="10" min="10" style="0" width="8"/>
    <col collapsed="false" customWidth="true" hidden="false" outlineLevel="0" max="11" min="11" style="0" width="18"/>
    <col collapsed="false" customWidth="true" hidden="false" outlineLevel="0" max="12" min="12" style="0" width="22"/>
    <col collapsed="false" customWidth="true" hidden="false" outlineLevel="0" max="13" min="13" style="0" width="13"/>
    <col collapsed="false" customWidth="true" hidden="false" outlineLevel="0" max="14" min="14" style="0" width="46"/>
    <col collapsed="false" customWidth="true" hidden="false" outlineLevel="0" max="15" min="15" style="0" width="40"/>
    <col collapsed="false" customWidth="true" hidden="false" outlineLevel="0" max="16" min="16" style="0" width="62"/>
    <col collapsed="false" customWidth="true" hidden="false" outlineLevel="0" max="21" min="17" style="0" width="11"/>
    <col collapsed="false" customWidth="true" hidden="false" outlineLevel="0" max="22" min="22" style="0" width="13"/>
    <col collapsed="false" customWidth="true" hidden="false" outlineLevel="0" max="27" min="23" style="0" width="11"/>
    <col collapsed="false" customWidth="true" hidden="false" outlineLevel="0" max="28" min="28" style="0" width="13"/>
    <col collapsed="false" customWidth="true" hidden="false" outlineLevel="0" max="29" min="29" style="0" width="20"/>
    <col collapsed="false" customWidth="true" hidden="false" outlineLevel="0" max="30" min="30" style="0" width="30"/>
  </cols>
  <sheetData>
    <row r="1" customFormat="false" ht="17.35" hidden="false" customHeight="false" outlineLevel="0" collapsed="false">
      <c r="A1" s="1" t="s">
        <v>61</v>
      </c>
    </row>
    <row r="2" customFormat="false" ht="27.75" hidden="false" customHeight="true" outlineLevel="0" collapsed="false">
      <c r="A2" s="2" t="s">
        <v>62</v>
      </c>
      <c r="B2" s="2"/>
      <c r="C2" s="2"/>
      <c r="D2" s="2"/>
      <c r="E2" s="2"/>
      <c r="F2" s="2"/>
      <c r="G2" s="2"/>
      <c r="H2" s="2"/>
      <c r="I2" s="2"/>
      <c r="J2" s="2"/>
      <c r="K2" s="2"/>
      <c r="L2" s="2"/>
      <c r="M2" s="2"/>
      <c r="N2" s="2"/>
      <c r="O2" s="2"/>
      <c r="P2" s="2"/>
      <c r="Q2" s="2"/>
      <c r="R2" s="2"/>
      <c r="S2" s="2"/>
      <c r="T2" s="2"/>
      <c r="U2" s="2"/>
      <c r="V2" s="2"/>
      <c r="W2" s="2"/>
      <c r="X2" s="2"/>
      <c r="Y2" s="2"/>
      <c r="Z2" s="2"/>
      <c r="AA2" s="2"/>
      <c r="AB2" s="2"/>
      <c r="AC2" s="2"/>
      <c r="AD2" s="2"/>
    </row>
    <row r="4" customFormat="false" ht="42" hidden="false" customHeight="true" outlineLevel="0" collapsed="false">
      <c r="A4" s="9" t="s">
        <v>63</v>
      </c>
      <c r="B4" s="9" t="s">
        <v>64</v>
      </c>
      <c r="C4" s="9" t="s">
        <v>65</v>
      </c>
      <c r="D4" s="9" t="s">
        <v>66</v>
      </c>
      <c r="E4" s="9" t="s">
        <v>67</v>
      </c>
      <c r="F4" s="9" t="s">
        <v>68</v>
      </c>
      <c r="G4" s="9" t="s">
        <v>69</v>
      </c>
      <c r="H4" s="9" t="s">
        <v>70</v>
      </c>
      <c r="I4" s="9" t="s">
        <v>71</v>
      </c>
      <c r="J4" s="9" t="s">
        <v>72</v>
      </c>
      <c r="K4" s="9" t="s">
        <v>73</v>
      </c>
      <c r="L4" s="9" t="s">
        <v>74</v>
      </c>
      <c r="M4" s="9" t="s">
        <v>75</v>
      </c>
      <c r="N4" s="9" t="s">
        <v>76</v>
      </c>
      <c r="O4" s="9" t="s">
        <v>77</v>
      </c>
      <c r="P4" s="9" t="s">
        <v>78</v>
      </c>
      <c r="Q4" s="9" t="s">
        <v>79</v>
      </c>
      <c r="R4" s="9" t="s">
        <v>80</v>
      </c>
      <c r="S4" s="9" t="s">
        <v>81</v>
      </c>
      <c r="T4" s="9" t="s">
        <v>82</v>
      </c>
      <c r="U4" s="9" t="s">
        <v>83</v>
      </c>
      <c r="V4" s="10" t="s">
        <v>84</v>
      </c>
      <c r="W4" s="9" t="s">
        <v>85</v>
      </c>
      <c r="X4" s="9" t="s">
        <v>86</v>
      </c>
      <c r="Y4" s="9" t="s">
        <v>87</v>
      </c>
      <c r="Z4" s="9" t="s">
        <v>88</v>
      </c>
      <c r="AA4" s="9" t="s">
        <v>89</v>
      </c>
      <c r="AB4" s="10" t="s">
        <v>90</v>
      </c>
      <c r="AC4" s="9" t="s">
        <v>91</v>
      </c>
      <c r="AD4" s="9" t="s">
        <v>92</v>
      </c>
    </row>
    <row r="5" customFormat="false" ht="35.05" hidden="false" customHeight="false" outlineLevel="0" collapsed="false">
      <c r="A5" s="11" t="s">
        <v>93</v>
      </c>
      <c r="B5" s="11" t="s">
        <v>94</v>
      </c>
      <c r="C5" s="11" t="s">
        <v>95</v>
      </c>
      <c r="D5" s="11" t="s">
        <v>95</v>
      </c>
      <c r="E5" s="11" t="s">
        <v>96</v>
      </c>
      <c r="F5" s="11" t="s">
        <v>97</v>
      </c>
      <c r="G5" s="11" t="s">
        <v>98</v>
      </c>
      <c r="H5" s="11" t="s">
        <v>99</v>
      </c>
      <c r="I5" s="11" t="s">
        <v>100</v>
      </c>
      <c r="J5" s="11" t="s">
        <v>101</v>
      </c>
      <c r="K5" s="11" t="s">
        <v>102</v>
      </c>
      <c r="L5" s="11" t="s">
        <v>103</v>
      </c>
      <c r="M5" s="11" t="s">
        <v>104</v>
      </c>
      <c r="N5" s="11" t="s">
        <v>105</v>
      </c>
      <c r="O5" s="11" t="s">
        <v>106</v>
      </c>
      <c r="P5" s="11" t="s">
        <v>107</v>
      </c>
      <c r="Q5" s="12" t="n">
        <v>3</v>
      </c>
      <c r="R5" s="12" t="n">
        <v>3</v>
      </c>
      <c r="S5" s="12" t="n">
        <v>2</v>
      </c>
      <c r="T5" s="12" t="n">
        <v>3</v>
      </c>
      <c r="U5" s="12" t="n">
        <v>3</v>
      </c>
      <c r="V5" s="13" t="n">
        <f aca="false">Q5*'Scoring model'!$B$8+R5*'Scoring model'!$B$9+S5*'Scoring model'!$B$10+T5*'Scoring model'!$B$11+U5*'Scoring model'!$B$12</f>
        <v>31</v>
      </c>
      <c r="W5" s="12"/>
      <c r="X5" s="12" t="n">
        <v>2</v>
      </c>
      <c r="Y5" s="12" t="n">
        <v>3</v>
      </c>
      <c r="Z5" s="12" t="n">
        <v>3</v>
      </c>
      <c r="AA5" s="12" t="n">
        <v>3</v>
      </c>
      <c r="AB5" s="14" t="str">
        <f aca="false">IF(W5="","Pending pay data",W5*'Scoring model'!$B$20+X5*'Scoring model'!$B$21+Y5*'Scoring model'!$B$22+Z5*'Scoring model'!$B$23+AA5*'Scoring model'!$B$24)</f>
        <v>Pending pay data</v>
      </c>
      <c r="AC5" s="15"/>
      <c r="AD5" s="15"/>
    </row>
    <row r="6" customFormat="false" ht="35.05" hidden="false" customHeight="false" outlineLevel="0" collapsed="false">
      <c r="A6" s="11" t="s">
        <v>108</v>
      </c>
      <c r="B6" s="11" t="s">
        <v>109</v>
      </c>
      <c r="C6" s="11" t="s">
        <v>110</v>
      </c>
      <c r="D6" s="11" t="s">
        <v>111</v>
      </c>
      <c r="E6" s="11" t="s">
        <v>96</v>
      </c>
      <c r="F6" s="11" t="s">
        <v>97</v>
      </c>
      <c r="G6" s="11" t="s">
        <v>75</v>
      </c>
      <c r="H6" s="11" t="s">
        <v>112</v>
      </c>
      <c r="I6" s="11" t="s">
        <v>113</v>
      </c>
      <c r="J6" s="11" t="s">
        <v>104</v>
      </c>
      <c r="K6" s="11" t="s">
        <v>114</v>
      </c>
      <c r="L6" s="11" t="s">
        <v>115</v>
      </c>
      <c r="M6" s="11" t="s">
        <v>116</v>
      </c>
      <c r="N6" s="11" t="s">
        <v>117</v>
      </c>
      <c r="O6" s="11" t="s">
        <v>118</v>
      </c>
      <c r="P6" s="11" t="s">
        <v>119</v>
      </c>
      <c r="Q6" s="12" t="n">
        <v>2</v>
      </c>
      <c r="R6" s="12" t="n">
        <v>3</v>
      </c>
      <c r="S6" s="12" t="n">
        <v>3</v>
      </c>
      <c r="T6" s="12" t="n">
        <v>2</v>
      </c>
      <c r="U6" s="12" t="n">
        <v>3</v>
      </c>
      <c r="V6" s="13" t="n">
        <f aca="false">Q6*'Scoring model'!$B$8+R6*'Scoring model'!$B$9+S6*'Scoring model'!$B$10+T6*'Scoring model'!$B$11+U6*'Scoring model'!$B$12</f>
        <v>28</v>
      </c>
      <c r="W6" s="12"/>
      <c r="X6" s="12" t="n">
        <v>3</v>
      </c>
      <c r="Y6" s="12" t="n">
        <v>3</v>
      </c>
      <c r="Z6" s="12" t="n">
        <v>2</v>
      </c>
      <c r="AA6" s="12" t="n">
        <v>3</v>
      </c>
      <c r="AB6" s="14" t="str">
        <f aca="false">IF(W6="","Pending pay data",W6*'Scoring model'!$B$20+X6*'Scoring model'!$B$21+Y6*'Scoring model'!$B$22+Z6*'Scoring model'!$B$23+AA6*'Scoring model'!$B$24)</f>
        <v>Pending pay data</v>
      </c>
      <c r="AC6" s="15"/>
      <c r="AD6" s="15"/>
    </row>
    <row r="7" customFormat="false" ht="35.05" hidden="false" customHeight="false" outlineLevel="0" collapsed="false">
      <c r="A7" s="11" t="s">
        <v>120</v>
      </c>
      <c r="B7" s="11" t="s">
        <v>121</v>
      </c>
      <c r="C7" s="11" t="s">
        <v>122</v>
      </c>
      <c r="D7" s="11" t="s">
        <v>111</v>
      </c>
      <c r="E7" s="11" t="s">
        <v>96</v>
      </c>
      <c r="F7" s="11" t="s">
        <v>97</v>
      </c>
      <c r="G7" s="11" t="s">
        <v>98</v>
      </c>
      <c r="H7" s="11" t="s">
        <v>112</v>
      </c>
      <c r="I7" s="11" t="s">
        <v>113</v>
      </c>
      <c r="J7" s="11" t="s">
        <v>123</v>
      </c>
      <c r="K7" s="11" t="s">
        <v>124</v>
      </c>
      <c r="L7" s="11" t="s">
        <v>125</v>
      </c>
      <c r="M7" s="11" t="s">
        <v>104</v>
      </c>
      <c r="N7" s="11" t="s">
        <v>126</v>
      </c>
      <c r="O7" s="11" t="s">
        <v>127</v>
      </c>
      <c r="P7" s="11" t="s">
        <v>128</v>
      </c>
      <c r="Q7" s="12" t="n">
        <v>2</v>
      </c>
      <c r="R7" s="12" t="n">
        <v>3</v>
      </c>
      <c r="S7" s="12" t="n">
        <v>3</v>
      </c>
      <c r="T7" s="12" t="n">
        <v>2</v>
      </c>
      <c r="U7" s="12" t="n">
        <v>3</v>
      </c>
      <c r="V7" s="13" t="n">
        <f aca="false">Q7*'Scoring model'!$B$8+R7*'Scoring model'!$B$9+S7*'Scoring model'!$B$10+T7*'Scoring model'!$B$11+U7*'Scoring model'!$B$12</f>
        <v>28</v>
      </c>
      <c r="W7" s="12"/>
      <c r="X7" s="12" t="n">
        <v>3</v>
      </c>
      <c r="Y7" s="12" t="n">
        <v>2</v>
      </c>
      <c r="Z7" s="12" t="n">
        <v>2</v>
      </c>
      <c r="AA7" s="12" t="n">
        <v>3</v>
      </c>
      <c r="AB7" s="14" t="str">
        <f aca="false">IF(W7="","Pending pay data",W7*'Scoring model'!$B$20+X7*'Scoring model'!$B$21+Y7*'Scoring model'!$B$22+Z7*'Scoring model'!$B$23+AA7*'Scoring model'!$B$24)</f>
        <v>Pending pay data</v>
      </c>
      <c r="AC7" s="15"/>
      <c r="AD7" s="15"/>
    </row>
    <row r="8" customFormat="false" ht="23.85" hidden="false" customHeight="false" outlineLevel="0" collapsed="false">
      <c r="A8" s="11" t="s">
        <v>129</v>
      </c>
      <c r="B8" s="11" t="s">
        <v>130</v>
      </c>
      <c r="C8" s="11" t="s">
        <v>95</v>
      </c>
      <c r="D8" s="11" t="s">
        <v>95</v>
      </c>
      <c r="E8" s="11" t="s">
        <v>131</v>
      </c>
      <c r="F8" s="11" t="s">
        <v>132</v>
      </c>
      <c r="G8" s="11" t="s">
        <v>98</v>
      </c>
      <c r="H8" s="11" t="s">
        <v>112</v>
      </c>
      <c r="I8" s="11" t="s">
        <v>113</v>
      </c>
      <c r="J8" s="11" t="s">
        <v>104</v>
      </c>
      <c r="K8" s="11" t="s">
        <v>114</v>
      </c>
      <c r="L8" s="11" t="s">
        <v>133</v>
      </c>
      <c r="M8" s="11" t="s">
        <v>104</v>
      </c>
      <c r="N8" s="11" t="s">
        <v>134</v>
      </c>
      <c r="O8" s="11" t="s">
        <v>135</v>
      </c>
      <c r="P8" s="11" t="s">
        <v>136</v>
      </c>
      <c r="Q8" s="12" t="n">
        <v>3</v>
      </c>
      <c r="R8" s="12" t="n">
        <v>2</v>
      </c>
      <c r="S8" s="12" t="n">
        <v>3</v>
      </c>
      <c r="T8" s="12" t="n">
        <v>3</v>
      </c>
      <c r="U8" s="12" t="n">
        <v>1</v>
      </c>
      <c r="V8" s="13" t="n">
        <f aca="false">Q8*'Scoring model'!$B$8+R8*'Scoring model'!$B$9+S8*'Scoring model'!$B$10+T8*'Scoring model'!$B$11+U8*'Scoring model'!$B$12</f>
        <v>27.5</v>
      </c>
      <c r="W8" s="12"/>
      <c r="X8" s="12" t="n">
        <v>3</v>
      </c>
      <c r="Y8" s="12" t="n">
        <v>2</v>
      </c>
      <c r="Z8" s="12" t="n">
        <v>3</v>
      </c>
      <c r="AA8" s="12" t="n">
        <v>2</v>
      </c>
      <c r="AB8" s="14" t="str">
        <f aca="false">IF(W8="","Pending pay data",W8*'Scoring model'!$B$20+X8*'Scoring model'!$B$21+Y8*'Scoring model'!$B$22+Z8*'Scoring model'!$B$23+AA8*'Scoring model'!$B$24)</f>
        <v>Pending pay data</v>
      </c>
      <c r="AC8" s="15"/>
      <c r="AD8" s="15"/>
    </row>
    <row r="9" customFormat="false" ht="35.05" hidden="false" customHeight="false" outlineLevel="0" collapsed="false">
      <c r="A9" s="11" t="s">
        <v>137</v>
      </c>
      <c r="B9" s="11" t="s">
        <v>138</v>
      </c>
      <c r="C9" s="11" t="s">
        <v>139</v>
      </c>
      <c r="D9" s="11" t="s">
        <v>140</v>
      </c>
      <c r="E9" s="11" t="s">
        <v>141</v>
      </c>
      <c r="F9" s="11" t="s">
        <v>132</v>
      </c>
      <c r="G9" s="11" t="s">
        <v>75</v>
      </c>
      <c r="H9" s="11" t="s">
        <v>99</v>
      </c>
      <c r="I9" s="11" t="s">
        <v>113</v>
      </c>
      <c r="J9" s="11" t="s">
        <v>142</v>
      </c>
      <c r="K9" s="11" t="s">
        <v>104</v>
      </c>
      <c r="L9" s="11" t="s">
        <v>143</v>
      </c>
      <c r="M9" s="11" t="s">
        <v>116</v>
      </c>
      <c r="N9" s="11" t="s">
        <v>144</v>
      </c>
      <c r="O9" s="11" t="s">
        <v>145</v>
      </c>
      <c r="P9" s="11" t="s">
        <v>146</v>
      </c>
      <c r="Q9" s="12" t="n">
        <v>3</v>
      </c>
      <c r="R9" s="12" t="n">
        <v>2</v>
      </c>
      <c r="S9" s="12" t="n">
        <v>2</v>
      </c>
      <c r="T9" s="12" t="n">
        <v>3</v>
      </c>
      <c r="U9" s="12" t="n">
        <v>2</v>
      </c>
      <c r="V9" s="13" t="n">
        <f aca="false">Q9*'Scoring model'!$B$8+R9*'Scoring model'!$B$9+S9*'Scoring model'!$B$10+T9*'Scoring model'!$B$11+U9*'Scoring model'!$B$12</f>
        <v>27</v>
      </c>
      <c r="W9" s="12"/>
      <c r="X9" s="12" t="n">
        <v>2</v>
      </c>
      <c r="Y9" s="12" t="n">
        <v>2</v>
      </c>
      <c r="Z9" s="12" t="n">
        <v>3</v>
      </c>
      <c r="AA9" s="12" t="n">
        <v>3</v>
      </c>
      <c r="AB9" s="14" t="str">
        <f aca="false">IF(W9="","Pending pay data",W9*'Scoring model'!$B$20+X9*'Scoring model'!$B$21+Y9*'Scoring model'!$B$22+Z9*'Scoring model'!$B$23+AA9*'Scoring model'!$B$24)</f>
        <v>Pending pay data</v>
      </c>
      <c r="AC9" s="15"/>
      <c r="AD9" s="15"/>
    </row>
    <row r="10" customFormat="false" ht="23.85" hidden="false" customHeight="false" outlineLevel="0" collapsed="false">
      <c r="A10" s="11" t="s">
        <v>147</v>
      </c>
      <c r="B10" s="11" t="s">
        <v>148</v>
      </c>
      <c r="C10" s="11" t="s">
        <v>95</v>
      </c>
      <c r="D10" s="11" t="s">
        <v>95</v>
      </c>
      <c r="E10" s="11" t="s">
        <v>149</v>
      </c>
      <c r="F10" s="11" t="s">
        <v>97</v>
      </c>
      <c r="G10" s="11" t="s">
        <v>98</v>
      </c>
      <c r="H10" s="11" t="s">
        <v>99</v>
      </c>
      <c r="I10" s="11" t="s">
        <v>113</v>
      </c>
      <c r="J10" s="11" t="s">
        <v>104</v>
      </c>
      <c r="K10" s="11" t="s">
        <v>104</v>
      </c>
      <c r="L10" s="11" t="s">
        <v>143</v>
      </c>
      <c r="M10" s="11" t="s">
        <v>104</v>
      </c>
      <c r="N10" s="11" t="s">
        <v>150</v>
      </c>
      <c r="O10" s="11" t="s">
        <v>151</v>
      </c>
      <c r="P10" s="11" t="s">
        <v>152</v>
      </c>
      <c r="Q10" s="12" t="n">
        <v>3</v>
      </c>
      <c r="R10" s="12" t="n">
        <v>2</v>
      </c>
      <c r="S10" s="12" t="n">
        <v>2</v>
      </c>
      <c r="T10" s="12" t="n">
        <v>3</v>
      </c>
      <c r="U10" s="12" t="n">
        <v>2</v>
      </c>
      <c r="V10" s="13" t="n">
        <f aca="false">Q10*'Scoring model'!$B$8+R10*'Scoring model'!$B$9+S10*'Scoring model'!$B$10+T10*'Scoring model'!$B$11+U10*'Scoring model'!$B$12</f>
        <v>27</v>
      </c>
      <c r="W10" s="12"/>
      <c r="X10" s="12" t="n">
        <v>2</v>
      </c>
      <c r="Y10" s="12" t="n">
        <v>1</v>
      </c>
      <c r="Z10" s="12" t="n">
        <v>3</v>
      </c>
      <c r="AA10" s="12" t="n">
        <v>3</v>
      </c>
      <c r="AB10" s="14" t="str">
        <f aca="false">IF(W10="","Pending pay data",W10*'Scoring model'!$B$20+X10*'Scoring model'!$B$21+Y10*'Scoring model'!$B$22+Z10*'Scoring model'!$B$23+AA10*'Scoring model'!$B$24)</f>
        <v>Pending pay data</v>
      </c>
      <c r="AC10" s="15"/>
      <c r="AD10" s="15"/>
    </row>
    <row r="11" customFormat="false" ht="23.85" hidden="false" customHeight="false" outlineLevel="0" collapsed="false">
      <c r="A11" s="11" t="s">
        <v>153</v>
      </c>
      <c r="B11" s="11" t="s">
        <v>154</v>
      </c>
      <c r="C11" s="11" t="s">
        <v>139</v>
      </c>
      <c r="D11" s="11" t="s">
        <v>140</v>
      </c>
      <c r="E11" s="11" t="s">
        <v>155</v>
      </c>
      <c r="F11" s="11" t="s">
        <v>132</v>
      </c>
      <c r="G11" s="11" t="s">
        <v>98</v>
      </c>
      <c r="H11" s="11" t="s">
        <v>99</v>
      </c>
      <c r="I11" s="11" t="s">
        <v>113</v>
      </c>
      <c r="J11" s="11" t="s">
        <v>156</v>
      </c>
      <c r="K11" s="11" t="s">
        <v>114</v>
      </c>
      <c r="L11" s="11" t="s">
        <v>143</v>
      </c>
      <c r="M11" s="11" t="s">
        <v>104</v>
      </c>
      <c r="N11" s="11" t="s">
        <v>157</v>
      </c>
      <c r="O11" s="11" t="s">
        <v>158</v>
      </c>
      <c r="P11" s="11" t="s">
        <v>159</v>
      </c>
      <c r="Q11" s="12" t="n">
        <v>3</v>
      </c>
      <c r="R11" s="12" t="n">
        <v>2</v>
      </c>
      <c r="S11" s="12" t="n">
        <v>2</v>
      </c>
      <c r="T11" s="12" t="n">
        <v>3</v>
      </c>
      <c r="U11" s="12" t="n">
        <v>2</v>
      </c>
      <c r="V11" s="13" t="n">
        <f aca="false">Q11*'Scoring model'!$B$8+R11*'Scoring model'!$B$9+S11*'Scoring model'!$B$10+T11*'Scoring model'!$B$11+U11*'Scoring model'!$B$12</f>
        <v>27</v>
      </c>
      <c r="W11" s="12"/>
      <c r="X11" s="12" t="n">
        <v>2</v>
      </c>
      <c r="Y11" s="12" t="n">
        <v>1</v>
      </c>
      <c r="Z11" s="12" t="n">
        <v>3</v>
      </c>
      <c r="AA11" s="12" t="n">
        <v>2</v>
      </c>
      <c r="AB11" s="14" t="str">
        <f aca="false">IF(W11="","Pending pay data",W11*'Scoring model'!$B$20+X11*'Scoring model'!$B$21+Y11*'Scoring model'!$B$22+Z11*'Scoring model'!$B$23+AA11*'Scoring model'!$B$24)</f>
        <v>Pending pay data</v>
      </c>
      <c r="AC11" s="15"/>
      <c r="AD11" s="15"/>
    </row>
    <row r="12" customFormat="false" ht="23.85" hidden="false" customHeight="false" outlineLevel="0" collapsed="false">
      <c r="A12" s="11" t="s">
        <v>160</v>
      </c>
      <c r="B12" s="11" t="s">
        <v>161</v>
      </c>
      <c r="C12" s="11" t="s">
        <v>162</v>
      </c>
      <c r="D12" s="11" t="s">
        <v>111</v>
      </c>
      <c r="E12" s="11" t="s">
        <v>96</v>
      </c>
      <c r="F12" s="11" t="s">
        <v>97</v>
      </c>
      <c r="G12" s="11" t="s">
        <v>98</v>
      </c>
      <c r="H12" s="11" t="s">
        <v>99</v>
      </c>
      <c r="I12" s="11" t="s">
        <v>113</v>
      </c>
      <c r="J12" s="11" t="s">
        <v>104</v>
      </c>
      <c r="K12" s="11" t="s">
        <v>104</v>
      </c>
      <c r="L12" s="11" t="s">
        <v>104</v>
      </c>
      <c r="M12" s="11" t="s">
        <v>104</v>
      </c>
      <c r="N12" s="11" t="s">
        <v>163</v>
      </c>
      <c r="O12" s="11" t="s">
        <v>151</v>
      </c>
      <c r="P12" s="11" t="s">
        <v>164</v>
      </c>
      <c r="Q12" s="12" t="n">
        <v>3</v>
      </c>
      <c r="R12" s="12" t="n">
        <v>2</v>
      </c>
      <c r="S12" s="12" t="n">
        <v>2</v>
      </c>
      <c r="T12" s="12" t="n">
        <v>2</v>
      </c>
      <c r="U12" s="12" t="n">
        <v>3</v>
      </c>
      <c r="V12" s="13" t="n">
        <f aca="false">Q12*'Scoring model'!$B$8+R12*'Scoring model'!$B$9+S12*'Scoring model'!$B$10+T12*'Scoring model'!$B$11+U12*'Scoring model'!$B$12</f>
        <v>26.5</v>
      </c>
      <c r="W12" s="12"/>
      <c r="X12" s="12" t="n">
        <v>2</v>
      </c>
      <c r="Y12" s="12" t="n">
        <v>2</v>
      </c>
      <c r="Z12" s="12" t="n">
        <v>3</v>
      </c>
      <c r="AA12" s="12" t="n">
        <v>3</v>
      </c>
      <c r="AB12" s="14" t="str">
        <f aca="false">IF(W12="","Pending pay data",W12*'Scoring model'!$B$20+X12*'Scoring model'!$B$21+Y12*'Scoring model'!$B$22+Z12*'Scoring model'!$B$23+AA12*'Scoring model'!$B$24)</f>
        <v>Pending pay data</v>
      </c>
      <c r="AC12" s="15"/>
      <c r="AD12" s="15"/>
    </row>
    <row r="13" customFormat="false" ht="35.05" hidden="false" customHeight="false" outlineLevel="0" collapsed="false">
      <c r="A13" s="11" t="s">
        <v>165</v>
      </c>
      <c r="B13" s="11" t="s">
        <v>166</v>
      </c>
      <c r="C13" s="11" t="s">
        <v>167</v>
      </c>
      <c r="D13" s="11" t="s">
        <v>111</v>
      </c>
      <c r="E13" s="11" t="s">
        <v>96</v>
      </c>
      <c r="F13" s="11" t="s">
        <v>97</v>
      </c>
      <c r="G13" s="11" t="s">
        <v>98</v>
      </c>
      <c r="H13" s="11" t="s">
        <v>99</v>
      </c>
      <c r="I13" s="11" t="s">
        <v>113</v>
      </c>
      <c r="J13" s="11" t="s">
        <v>104</v>
      </c>
      <c r="K13" s="11" t="s">
        <v>114</v>
      </c>
      <c r="L13" s="11" t="s">
        <v>143</v>
      </c>
      <c r="M13" s="11" t="s">
        <v>104</v>
      </c>
      <c r="N13" s="11" t="s">
        <v>157</v>
      </c>
      <c r="O13" s="11" t="s">
        <v>158</v>
      </c>
      <c r="P13" s="11" t="s">
        <v>168</v>
      </c>
      <c r="Q13" s="12" t="n">
        <v>3</v>
      </c>
      <c r="R13" s="12" t="n">
        <v>2</v>
      </c>
      <c r="S13" s="12" t="n">
        <v>2</v>
      </c>
      <c r="T13" s="12" t="n">
        <v>2</v>
      </c>
      <c r="U13" s="12" t="n">
        <v>3</v>
      </c>
      <c r="V13" s="13" t="n">
        <f aca="false">Q13*'Scoring model'!$B$8+R13*'Scoring model'!$B$9+S13*'Scoring model'!$B$10+T13*'Scoring model'!$B$11+U13*'Scoring model'!$B$12</f>
        <v>26.5</v>
      </c>
      <c r="W13" s="12"/>
      <c r="X13" s="12" t="n">
        <v>2</v>
      </c>
      <c r="Y13" s="12" t="n">
        <v>2</v>
      </c>
      <c r="Z13" s="12" t="n">
        <v>3</v>
      </c>
      <c r="AA13" s="12" t="n">
        <v>2</v>
      </c>
      <c r="AB13" s="14" t="str">
        <f aca="false">IF(W13="","Pending pay data",W13*'Scoring model'!$B$20+X13*'Scoring model'!$B$21+Y13*'Scoring model'!$B$22+Z13*'Scoring model'!$B$23+AA13*'Scoring model'!$B$24)</f>
        <v>Pending pay data</v>
      </c>
      <c r="AC13" s="15"/>
      <c r="AD13" s="15"/>
    </row>
    <row r="14" customFormat="false" ht="23.85" hidden="false" customHeight="false" outlineLevel="0" collapsed="false">
      <c r="A14" s="11" t="s">
        <v>169</v>
      </c>
      <c r="B14" s="11" t="s">
        <v>170</v>
      </c>
      <c r="C14" s="11" t="s">
        <v>171</v>
      </c>
      <c r="D14" s="11" t="s">
        <v>111</v>
      </c>
      <c r="E14" s="11" t="s">
        <v>96</v>
      </c>
      <c r="F14" s="11" t="s">
        <v>97</v>
      </c>
      <c r="G14" s="11" t="s">
        <v>98</v>
      </c>
      <c r="H14" s="11" t="s">
        <v>99</v>
      </c>
      <c r="I14" s="11" t="s">
        <v>113</v>
      </c>
      <c r="J14" s="11" t="s">
        <v>104</v>
      </c>
      <c r="K14" s="11" t="s">
        <v>114</v>
      </c>
      <c r="L14" s="11" t="s">
        <v>143</v>
      </c>
      <c r="M14" s="11" t="s">
        <v>104</v>
      </c>
      <c r="N14" s="11" t="s">
        <v>157</v>
      </c>
      <c r="O14" s="11" t="s">
        <v>158</v>
      </c>
      <c r="P14" s="11" t="s">
        <v>172</v>
      </c>
      <c r="Q14" s="12" t="n">
        <v>3</v>
      </c>
      <c r="R14" s="12" t="n">
        <v>2</v>
      </c>
      <c r="S14" s="12" t="n">
        <v>2</v>
      </c>
      <c r="T14" s="12" t="n">
        <v>2</v>
      </c>
      <c r="U14" s="12" t="n">
        <v>3</v>
      </c>
      <c r="V14" s="13" t="n">
        <f aca="false">Q14*'Scoring model'!$B$8+R14*'Scoring model'!$B$9+S14*'Scoring model'!$B$10+T14*'Scoring model'!$B$11+U14*'Scoring model'!$B$12</f>
        <v>26.5</v>
      </c>
      <c r="W14" s="12"/>
      <c r="X14" s="12" t="n">
        <v>2</v>
      </c>
      <c r="Y14" s="12" t="n">
        <v>2</v>
      </c>
      <c r="Z14" s="12" t="n">
        <v>3</v>
      </c>
      <c r="AA14" s="12" t="n">
        <v>2</v>
      </c>
      <c r="AB14" s="14" t="str">
        <f aca="false">IF(W14="","Pending pay data",W14*'Scoring model'!$B$20+X14*'Scoring model'!$B$21+Y14*'Scoring model'!$B$22+Z14*'Scoring model'!$B$23+AA14*'Scoring model'!$B$24)</f>
        <v>Pending pay data</v>
      </c>
      <c r="AC14" s="15"/>
      <c r="AD14" s="15"/>
    </row>
    <row r="15" customFormat="false" ht="35.05" hidden="false" customHeight="false" outlineLevel="0" collapsed="false">
      <c r="A15" s="11" t="s">
        <v>173</v>
      </c>
      <c r="B15" s="11" t="s">
        <v>174</v>
      </c>
      <c r="C15" s="11" t="s">
        <v>110</v>
      </c>
      <c r="D15" s="11" t="s">
        <v>111</v>
      </c>
      <c r="E15" s="11" t="s">
        <v>155</v>
      </c>
      <c r="F15" s="11" t="s">
        <v>132</v>
      </c>
      <c r="G15" s="11" t="s">
        <v>98</v>
      </c>
      <c r="H15" s="11" t="s">
        <v>175</v>
      </c>
      <c r="I15" s="11" t="s">
        <v>113</v>
      </c>
      <c r="J15" s="11" t="s">
        <v>104</v>
      </c>
      <c r="K15" s="11" t="s">
        <v>104</v>
      </c>
      <c r="L15" s="11" t="s">
        <v>104</v>
      </c>
      <c r="M15" s="11" t="s">
        <v>104</v>
      </c>
      <c r="N15" s="11" t="s">
        <v>176</v>
      </c>
      <c r="O15" s="11" t="s">
        <v>177</v>
      </c>
      <c r="P15" s="11" t="s">
        <v>178</v>
      </c>
      <c r="Q15" s="12" t="n">
        <v>3</v>
      </c>
      <c r="R15" s="12" t="n">
        <v>3</v>
      </c>
      <c r="S15" s="12" t="n">
        <v>1</v>
      </c>
      <c r="T15" s="12" t="n">
        <v>2</v>
      </c>
      <c r="U15" s="12" t="n">
        <v>2</v>
      </c>
      <c r="V15" s="13" t="n">
        <f aca="false">Q15*'Scoring model'!$B$8+R15*'Scoring model'!$B$9+S15*'Scoring model'!$B$10+T15*'Scoring model'!$B$11+U15*'Scoring model'!$B$12</f>
        <v>25.5</v>
      </c>
      <c r="W15" s="12"/>
      <c r="X15" s="12" t="n">
        <v>1</v>
      </c>
      <c r="Y15" s="12" t="n">
        <v>1</v>
      </c>
      <c r="Z15" s="12" t="n">
        <v>3</v>
      </c>
      <c r="AA15" s="12" t="n">
        <v>3</v>
      </c>
      <c r="AB15" s="14" t="str">
        <f aca="false">IF(W15="","Pending pay data",W15*'Scoring model'!$B$20+X15*'Scoring model'!$B$21+Y15*'Scoring model'!$B$22+Z15*'Scoring model'!$B$23+AA15*'Scoring model'!$B$24)</f>
        <v>Pending pay data</v>
      </c>
      <c r="AC15" s="15"/>
      <c r="AD15" s="15"/>
    </row>
    <row r="16" customFormat="false" ht="23.85" hidden="false" customHeight="false" outlineLevel="0" collapsed="false">
      <c r="A16" s="11" t="s">
        <v>179</v>
      </c>
      <c r="B16" s="11" t="s">
        <v>180</v>
      </c>
      <c r="C16" s="11" t="s">
        <v>162</v>
      </c>
      <c r="D16" s="11" t="s">
        <v>111</v>
      </c>
      <c r="E16" s="11" t="s">
        <v>181</v>
      </c>
      <c r="F16" s="11" t="s">
        <v>132</v>
      </c>
      <c r="G16" s="11" t="s">
        <v>98</v>
      </c>
      <c r="H16" s="11" t="s">
        <v>99</v>
      </c>
      <c r="I16" s="11" t="s">
        <v>113</v>
      </c>
      <c r="J16" s="11" t="s">
        <v>182</v>
      </c>
      <c r="K16" s="11" t="s">
        <v>104</v>
      </c>
      <c r="L16" s="11" t="s">
        <v>104</v>
      </c>
      <c r="M16" s="11" t="s">
        <v>104</v>
      </c>
      <c r="N16" s="11" t="s">
        <v>183</v>
      </c>
      <c r="O16" s="11" t="s">
        <v>158</v>
      </c>
      <c r="P16" s="11" t="s">
        <v>184</v>
      </c>
      <c r="Q16" s="12" t="n">
        <v>3</v>
      </c>
      <c r="R16" s="12" t="n">
        <v>2</v>
      </c>
      <c r="S16" s="12" t="n">
        <v>2</v>
      </c>
      <c r="T16" s="12" t="n">
        <v>2</v>
      </c>
      <c r="U16" s="12" t="n">
        <v>2</v>
      </c>
      <c r="V16" s="13" t="n">
        <f aca="false">Q16*'Scoring model'!$B$8+R16*'Scoring model'!$B$9+S16*'Scoring model'!$B$10+T16*'Scoring model'!$B$11+U16*'Scoring model'!$B$12</f>
        <v>25</v>
      </c>
      <c r="W16" s="12"/>
      <c r="X16" s="12" t="n">
        <v>2</v>
      </c>
      <c r="Y16" s="12" t="n">
        <v>3</v>
      </c>
      <c r="Z16" s="12" t="n">
        <v>3</v>
      </c>
      <c r="AA16" s="12" t="n">
        <v>3</v>
      </c>
      <c r="AB16" s="14" t="str">
        <f aca="false">IF(W16="","Pending pay data",W16*'Scoring model'!$B$20+X16*'Scoring model'!$B$21+Y16*'Scoring model'!$B$22+Z16*'Scoring model'!$B$23+AA16*'Scoring model'!$B$24)</f>
        <v>Pending pay data</v>
      </c>
      <c r="AC16" s="15"/>
      <c r="AD16" s="15"/>
    </row>
    <row r="17" customFormat="false" ht="23.85" hidden="false" customHeight="false" outlineLevel="0" collapsed="false">
      <c r="A17" s="11" t="s">
        <v>185</v>
      </c>
      <c r="B17" s="11" t="s">
        <v>186</v>
      </c>
      <c r="C17" s="11" t="s">
        <v>95</v>
      </c>
      <c r="D17" s="11" t="s">
        <v>95</v>
      </c>
      <c r="E17" s="11" t="s">
        <v>187</v>
      </c>
      <c r="F17" s="11" t="s">
        <v>132</v>
      </c>
      <c r="G17" s="11" t="s">
        <v>98</v>
      </c>
      <c r="H17" s="11" t="s">
        <v>175</v>
      </c>
      <c r="I17" s="11" t="s">
        <v>113</v>
      </c>
      <c r="J17" s="11" t="s">
        <v>104</v>
      </c>
      <c r="K17" s="11" t="s">
        <v>114</v>
      </c>
      <c r="L17" s="11" t="s">
        <v>143</v>
      </c>
      <c r="M17" s="11" t="s">
        <v>104</v>
      </c>
      <c r="N17" s="11" t="s">
        <v>188</v>
      </c>
      <c r="O17" s="11" t="s">
        <v>189</v>
      </c>
      <c r="P17" s="11" t="s">
        <v>190</v>
      </c>
      <c r="Q17" s="12" t="n">
        <v>3</v>
      </c>
      <c r="R17" s="12" t="n">
        <v>2</v>
      </c>
      <c r="S17" s="12" t="n">
        <v>1</v>
      </c>
      <c r="T17" s="12" t="n">
        <v>3</v>
      </c>
      <c r="U17" s="12" t="n">
        <v>2</v>
      </c>
      <c r="V17" s="13" t="n">
        <f aca="false">Q17*'Scoring model'!$B$8+R17*'Scoring model'!$B$9+S17*'Scoring model'!$B$10+T17*'Scoring model'!$B$11+U17*'Scoring model'!$B$12</f>
        <v>25</v>
      </c>
      <c r="W17" s="12"/>
      <c r="X17" s="12" t="n">
        <v>1</v>
      </c>
      <c r="Y17" s="12" t="n">
        <v>1</v>
      </c>
      <c r="Z17" s="12" t="n">
        <v>3</v>
      </c>
      <c r="AA17" s="12" t="n">
        <v>3</v>
      </c>
      <c r="AB17" s="14" t="str">
        <f aca="false">IF(W17="","Pending pay data",W17*'Scoring model'!$B$20+X17*'Scoring model'!$B$21+Y17*'Scoring model'!$B$22+Z17*'Scoring model'!$B$23+AA17*'Scoring model'!$B$24)</f>
        <v>Pending pay data</v>
      </c>
      <c r="AC17" s="15"/>
      <c r="AD17" s="15"/>
    </row>
    <row r="18" customFormat="false" ht="23.85" hidden="false" customHeight="false" outlineLevel="0" collapsed="false">
      <c r="A18" s="11" t="s">
        <v>191</v>
      </c>
      <c r="B18" s="11" t="s">
        <v>192</v>
      </c>
      <c r="C18" s="11" t="s">
        <v>193</v>
      </c>
      <c r="D18" s="11" t="s">
        <v>111</v>
      </c>
      <c r="E18" s="11" t="s">
        <v>194</v>
      </c>
      <c r="F18" s="11" t="s">
        <v>97</v>
      </c>
      <c r="G18" s="11" t="s">
        <v>98</v>
      </c>
      <c r="H18" s="11" t="s">
        <v>99</v>
      </c>
      <c r="I18" s="11" t="s">
        <v>113</v>
      </c>
      <c r="J18" s="11" t="s">
        <v>195</v>
      </c>
      <c r="K18" s="11" t="s">
        <v>114</v>
      </c>
      <c r="L18" s="11" t="s">
        <v>196</v>
      </c>
      <c r="M18" s="11" t="s">
        <v>104</v>
      </c>
      <c r="N18" s="11" t="s">
        <v>197</v>
      </c>
      <c r="O18" s="11" t="s">
        <v>158</v>
      </c>
      <c r="P18" s="11" t="s">
        <v>198</v>
      </c>
      <c r="Q18" s="12" t="n">
        <v>3</v>
      </c>
      <c r="R18" s="12" t="n">
        <v>2</v>
      </c>
      <c r="S18" s="12" t="n">
        <v>2</v>
      </c>
      <c r="T18" s="12" t="n">
        <v>2</v>
      </c>
      <c r="U18" s="12" t="n">
        <v>2</v>
      </c>
      <c r="V18" s="13" t="n">
        <f aca="false">Q18*'Scoring model'!$B$8+R18*'Scoring model'!$B$9+S18*'Scoring model'!$B$10+T18*'Scoring model'!$B$11+U18*'Scoring model'!$B$12</f>
        <v>25</v>
      </c>
      <c r="W18" s="12"/>
      <c r="X18" s="12" t="n">
        <v>2</v>
      </c>
      <c r="Y18" s="12" t="n">
        <v>2</v>
      </c>
      <c r="Z18" s="12" t="n">
        <v>3</v>
      </c>
      <c r="AA18" s="12" t="n">
        <v>2</v>
      </c>
      <c r="AB18" s="14" t="str">
        <f aca="false">IF(W18="","Pending pay data",W18*'Scoring model'!$B$20+X18*'Scoring model'!$B$21+Y18*'Scoring model'!$B$22+Z18*'Scoring model'!$B$23+AA18*'Scoring model'!$B$24)</f>
        <v>Pending pay data</v>
      </c>
      <c r="AC18" s="15"/>
      <c r="AD18" s="15"/>
    </row>
    <row r="19" customFormat="false" ht="35.05" hidden="false" customHeight="false" outlineLevel="0" collapsed="false">
      <c r="A19" s="11" t="s">
        <v>199</v>
      </c>
      <c r="B19" s="11" t="s">
        <v>200</v>
      </c>
      <c r="C19" s="11" t="s">
        <v>110</v>
      </c>
      <c r="D19" s="11" t="s">
        <v>111</v>
      </c>
      <c r="E19" s="11" t="s">
        <v>201</v>
      </c>
      <c r="F19" s="11" t="s">
        <v>132</v>
      </c>
      <c r="G19" s="11" t="s">
        <v>75</v>
      </c>
      <c r="H19" s="11" t="s">
        <v>175</v>
      </c>
      <c r="I19" s="11" t="s">
        <v>113</v>
      </c>
      <c r="J19" s="11" t="s">
        <v>104</v>
      </c>
      <c r="K19" s="11" t="s">
        <v>114</v>
      </c>
      <c r="L19" s="11" t="s">
        <v>143</v>
      </c>
      <c r="M19" s="11" t="s">
        <v>116</v>
      </c>
      <c r="N19" s="11" t="s">
        <v>202</v>
      </c>
      <c r="O19" s="11" t="s">
        <v>203</v>
      </c>
      <c r="P19" s="11" t="s">
        <v>204</v>
      </c>
      <c r="Q19" s="12" t="n">
        <v>3</v>
      </c>
      <c r="R19" s="12" t="n">
        <v>2</v>
      </c>
      <c r="S19" s="12" t="n">
        <v>1</v>
      </c>
      <c r="T19" s="12" t="n">
        <v>2</v>
      </c>
      <c r="U19" s="12" t="n">
        <v>3</v>
      </c>
      <c r="V19" s="13" t="n">
        <f aca="false">Q19*'Scoring model'!$B$8+R19*'Scoring model'!$B$9+S19*'Scoring model'!$B$10+T19*'Scoring model'!$B$11+U19*'Scoring model'!$B$12</f>
        <v>24.5</v>
      </c>
      <c r="W19" s="12"/>
      <c r="X19" s="12" t="n">
        <v>2</v>
      </c>
      <c r="Y19" s="12" t="n">
        <v>2</v>
      </c>
      <c r="Z19" s="12" t="n">
        <v>3</v>
      </c>
      <c r="AA19" s="12" t="n">
        <v>3</v>
      </c>
      <c r="AB19" s="14" t="str">
        <f aca="false">IF(W19="","Pending pay data",W19*'Scoring model'!$B$20+X19*'Scoring model'!$B$21+Y19*'Scoring model'!$B$22+Z19*'Scoring model'!$B$23+AA19*'Scoring model'!$B$24)</f>
        <v>Pending pay data</v>
      </c>
      <c r="AC19" s="15"/>
      <c r="AD19" s="15"/>
    </row>
    <row r="20" customFormat="false" ht="23.85" hidden="false" customHeight="false" outlineLevel="0" collapsed="false">
      <c r="A20" s="11" t="s">
        <v>205</v>
      </c>
      <c r="B20" s="11" t="s">
        <v>206</v>
      </c>
      <c r="C20" s="11" t="s">
        <v>110</v>
      </c>
      <c r="D20" s="11" t="s">
        <v>111</v>
      </c>
      <c r="E20" s="11" t="s">
        <v>96</v>
      </c>
      <c r="F20" s="11" t="s">
        <v>97</v>
      </c>
      <c r="G20" s="11" t="s">
        <v>98</v>
      </c>
      <c r="H20" s="11" t="s">
        <v>175</v>
      </c>
      <c r="I20" s="11" t="s">
        <v>113</v>
      </c>
      <c r="J20" s="11" t="s">
        <v>104</v>
      </c>
      <c r="K20" s="11" t="s">
        <v>114</v>
      </c>
      <c r="L20" s="11" t="s">
        <v>104</v>
      </c>
      <c r="M20" s="11" t="s">
        <v>104</v>
      </c>
      <c r="N20" s="11" t="s">
        <v>207</v>
      </c>
      <c r="O20" s="11" t="s">
        <v>189</v>
      </c>
      <c r="P20" s="11" t="s">
        <v>208</v>
      </c>
      <c r="Q20" s="12" t="n">
        <v>3</v>
      </c>
      <c r="R20" s="12" t="n">
        <v>2</v>
      </c>
      <c r="S20" s="12" t="n">
        <v>1</v>
      </c>
      <c r="T20" s="12" t="n">
        <v>2</v>
      </c>
      <c r="U20" s="12" t="n">
        <v>3</v>
      </c>
      <c r="V20" s="13" t="n">
        <f aca="false">Q20*'Scoring model'!$B$8+R20*'Scoring model'!$B$9+S20*'Scoring model'!$B$10+T20*'Scoring model'!$B$11+U20*'Scoring model'!$B$12</f>
        <v>24.5</v>
      </c>
      <c r="W20" s="12"/>
      <c r="X20" s="12" t="n">
        <v>2</v>
      </c>
      <c r="Y20" s="12" t="n">
        <v>2</v>
      </c>
      <c r="Z20" s="12" t="n">
        <v>3</v>
      </c>
      <c r="AA20" s="12" t="n">
        <v>3</v>
      </c>
      <c r="AB20" s="14" t="str">
        <f aca="false">IF(W20="","Pending pay data",W20*'Scoring model'!$B$20+X20*'Scoring model'!$B$21+Y20*'Scoring model'!$B$22+Z20*'Scoring model'!$B$23+AA20*'Scoring model'!$B$24)</f>
        <v>Pending pay data</v>
      </c>
      <c r="AC20" s="15"/>
      <c r="AD20" s="15"/>
    </row>
    <row r="21" customFormat="false" ht="23.85" hidden="false" customHeight="false" outlineLevel="0" collapsed="false">
      <c r="A21" s="11" t="s">
        <v>209</v>
      </c>
      <c r="B21" s="11" t="s">
        <v>210</v>
      </c>
      <c r="C21" s="11" t="s">
        <v>110</v>
      </c>
      <c r="D21" s="11" t="s">
        <v>111</v>
      </c>
      <c r="E21" s="11" t="s">
        <v>201</v>
      </c>
      <c r="F21" s="11" t="s">
        <v>132</v>
      </c>
      <c r="G21" s="11" t="s">
        <v>98</v>
      </c>
      <c r="H21" s="11" t="s">
        <v>175</v>
      </c>
      <c r="I21" s="11" t="s">
        <v>113</v>
      </c>
      <c r="J21" s="11" t="s">
        <v>211</v>
      </c>
      <c r="K21" s="11" t="s">
        <v>104</v>
      </c>
      <c r="L21" s="11" t="s">
        <v>104</v>
      </c>
      <c r="M21" s="11" t="s">
        <v>104</v>
      </c>
      <c r="N21" s="11" t="s">
        <v>212</v>
      </c>
      <c r="O21" s="11" t="s">
        <v>189</v>
      </c>
      <c r="P21" s="11" t="s">
        <v>213</v>
      </c>
      <c r="Q21" s="12" t="n">
        <v>3</v>
      </c>
      <c r="R21" s="12" t="n">
        <v>2</v>
      </c>
      <c r="S21" s="12" t="n">
        <v>1</v>
      </c>
      <c r="T21" s="12" t="n">
        <v>2</v>
      </c>
      <c r="U21" s="12" t="n">
        <v>3</v>
      </c>
      <c r="V21" s="13" t="n">
        <f aca="false">Q21*'Scoring model'!$B$8+R21*'Scoring model'!$B$9+S21*'Scoring model'!$B$10+T21*'Scoring model'!$B$11+U21*'Scoring model'!$B$12</f>
        <v>24.5</v>
      </c>
      <c r="W21" s="12"/>
      <c r="X21" s="12" t="n">
        <v>2</v>
      </c>
      <c r="Y21" s="12" t="n">
        <v>2</v>
      </c>
      <c r="Z21" s="12" t="n">
        <v>3</v>
      </c>
      <c r="AA21" s="12" t="n">
        <v>3</v>
      </c>
      <c r="AB21" s="14" t="str">
        <f aca="false">IF(W21="","Pending pay data",W21*'Scoring model'!$B$20+X21*'Scoring model'!$B$21+Y21*'Scoring model'!$B$22+Z21*'Scoring model'!$B$23+AA21*'Scoring model'!$B$24)</f>
        <v>Pending pay data</v>
      </c>
      <c r="AC21" s="15"/>
      <c r="AD21" s="15"/>
    </row>
    <row r="22" customFormat="false" ht="23.85" hidden="false" customHeight="false" outlineLevel="0" collapsed="false">
      <c r="A22" s="11" t="s">
        <v>214</v>
      </c>
      <c r="B22" s="11" t="s">
        <v>215</v>
      </c>
      <c r="C22" s="11" t="s">
        <v>162</v>
      </c>
      <c r="D22" s="11" t="s">
        <v>111</v>
      </c>
      <c r="E22" s="11" t="s">
        <v>96</v>
      </c>
      <c r="F22" s="11" t="s">
        <v>97</v>
      </c>
      <c r="G22" s="11" t="s">
        <v>98</v>
      </c>
      <c r="H22" s="11" t="s">
        <v>175</v>
      </c>
      <c r="I22" s="11" t="s">
        <v>113</v>
      </c>
      <c r="J22" s="11" t="s">
        <v>216</v>
      </c>
      <c r="K22" s="11" t="s">
        <v>104</v>
      </c>
      <c r="L22" s="11" t="s">
        <v>104</v>
      </c>
      <c r="M22" s="11" t="s">
        <v>104</v>
      </c>
      <c r="N22" s="11" t="s">
        <v>212</v>
      </c>
      <c r="O22" s="11" t="s">
        <v>189</v>
      </c>
      <c r="P22" s="11" t="s">
        <v>217</v>
      </c>
      <c r="Q22" s="12" t="n">
        <v>3</v>
      </c>
      <c r="R22" s="12" t="n">
        <v>2</v>
      </c>
      <c r="S22" s="12" t="n">
        <v>1</v>
      </c>
      <c r="T22" s="12" t="n">
        <v>2</v>
      </c>
      <c r="U22" s="12" t="n">
        <v>3</v>
      </c>
      <c r="V22" s="13" t="n">
        <f aca="false">Q22*'Scoring model'!$B$8+R22*'Scoring model'!$B$9+S22*'Scoring model'!$B$10+T22*'Scoring model'!$B$11+U22*'Scoring model'!$B$12</f>
        <v>24.5</v>
      </c>
      <c r="W22" s="12"/>
      <c r="X22" s="12" t="n">
        <v>1</v>
      </c>
      <c r="Y22" s="12" t="n">
        <v>1</v>
      </c>
      <c r="Z22" s="12" t="n">
        <v>3</v>
      </c>
      <c r="AA22" s="12" t="n">
        <v>3</v>
      </c>
      <c r="AB22" s="14" t="str">
        <f aca="false">IF(W22="","Pending pay data",W22*'Scoring model'!$B$20+X22*'Scoring model'!$B$21+Y22*'Scoring model'!$B$22+Z22*'Scoring model'!$B$23+AA22*'Scoring model'!$B$24)</f>
        <v>Pending pay data</v>
      </c>
      <c r="AC22" s="15"/>
      <c r="AD22" s="15"/>
    </row>
    <row r="23" customFormat="false" ht="23.85" hidden="false" customHeight="false" outlineLevel="0" collapsed="false">
      <c r="A23" s="11" t="s">
        <v>218</v>
      </c>
      <c r="B23" s="11" t="s">
        <v>219</v>
      </c>
      <c r="C23" s="11" t="s">
        <v>220</v>
      </c>
      <c r="D23" s="11" t="s">
        <v>111</v>
      </c>
      <c r="E23" s="11" t="s">
        <v>201</v>
      </c>
      <c r="F23" s="11" t="s">
        <v>132</v>
      </c>
      <c r="G23" s="11" t="s">
        <v>75</v>
      </c>
      <c r="H23" s="11" t="s">
        <v>99</v>
      </c>
      <c r="I23" s="11" t="s">
        <v>113</v>
      </c>
      <c r="J23" s="11" t="s">
        <v>156</v>
      </c>
      <c r="K23" s="11" t="s">
        <v>114</v>
      </c>
      <c r="L23" s="11" t="s">
        <v>143</v>
      </c>
      <c r="M23" s="11" t="s">
        <v>116</v>
      </c>
      <c r="N23" s="11" t="s">
        <v>221</v>
      </c>
      <c r="O23" s="11" t="s">
        <v>145</v>
      </c>
      <c r="P23" s="11" t="s">
        <v>222</v>
      </c>
      <c r="Q23" s="12" t="n">
        <v>2</v>
      </c>
      <c r="R23" s="12" t="n">
        <v>2</v>
      </c>
      <c r="S23" s="12" t="n">
        <v>2</v>
      </c>
      <c r="T23" s="12" t="n">
        <v>2</v>
      </c>
      <c r="U23" s="12" t="n">
        <v>3</v>
      </c>
      <c r="V23" s="13" t="n">
        <f aca="false">Q23*'Scoring model'!$B$8+R23*'Scoring model'!$B$9+S23*'Scoring model'!$B$10+T23*'Scoring model'!$B$11+U23*'Scoring model'!$B$12</f>
        <v>23.5</v>
      </c>
      <c r="W23" s="12"/>
      <c r="X23" s="12" t="n">
        <v>2</v>
      </c>
      <c r="Y23" s="12" t="n">
        <v>1</v>
      </c>
      <c r="Z23" s="12" t="n">
        <v>3</v>
      </c>
      <c r="AA23" s="12" t="n">
        <v>2</v>
      </c>
      <c r="AB23" s="14" t="str">
        <f aca="false">IF(W23="","Pending pay data",W23*'Scoring model'!$B$20+X23*'Scoring model'!$B$21+Y23*'Scoring model'!$B$22+Z23*'Scoring model'!$B$23+AA23*'Scoring model'!$B$24)</f>
        <v>Pending pay data</v>
      </c>
      <c r="AC23" s="15"/>
      <c r="AD23" s="15"/>
    </row>
    <row r="24" customFormat="false" ht="23.85" hidden="false" customHeight="false" outlineLevel="0" collapsed="false">
      <c r="A24" s="11" t="s">
        <v>223</v>
      </c>
      <c r="B24" s="11" t="s">
        <v>224</v>
      </c>
      <c r="C24" s="11" t="s">
        <v>220</v>
      </c>
      <c r="D24" s="11" t="s">
        <v>111</v>
      </c>
      <c r="E24" s="11" t="s">
        <v>96</v>
      </c>
      <c r="F24" s="11" t="s">
        <v>97</v>
      </c>
      <c r="G24" s="11" t="s">
        <v>98</v>
      </c>
      <c r="H24" s="11" t="s">
        <v>99</v>
      </c>
      <c r="I24" s="11" t="s">
        <v>113</v>
      </c>
      <c r="J24" s="11" t="s">
        <v>225</v>
      </c>
      <c r="K24" s="11" t="s">
        <v>114</v>
      </c>
      <c r="L24" s="11" t="s">
        <v>104</v>
      </c>
      <c r="M24" s="11" t="s">
        <v>104</v>
      </c>
      <c r="N24" s="11" t="s">
        <v>226</v>
      </c>
      <c r="O24" s="11" t="s">
        <v>145</v>
      </c>
      <c r="P24" s="11" t="s">
        <v>227</v>
      </c>
      <c r="Q24" s="12" t="n">
        <v>2</v>
      </c>
      <c r="R24" s="12" t="n">
        <v>2</v>
      </c>
      <c r="S24" s="12" t="n">
        <v>2</v>
      </c>
      <c r="T24" s="12" t="n">
        <v>2</v>
      </c>
      <c r="U24" s="12" t="n">
        <v>3</v>
      </c>
      <c r="V24" s="13" t="n">
        <f aca="false">Q24*'Scoring model'!$B$8+R24*'Scoring model'!$B$9+S24*'Scoring model'!$B$10+T24*'Scoring model'!$B$11+U24*'Scoring model'!$B$12</f>
        <v>23.5</v>
      </c>
      <c r="W24" s="12"/>
      <c r="X24" s="12" t="n">
        <v>2</v>
      </c>
      <c r="Y24" s="12" t="n">
        <v>3</v>
      </c>
      <c r="Z24" s="12" t="n">
        <v>2</v>
      </c>
      <c r="AA24" s="12" t="n">
        <v>3</v>
      </c>
      <c r="AB24" s="14" t="str">
        <f aca="false">IF(W24="","Pending pay data",W24*'Scoring model'!$B$20+X24*'Scoring model'!$B$21+Y24*'Scoring model'!$B$22+Z24*'Scoring model'!$B$23+AA24*'Scoring model'!$B$24)</f>
        <v>Pending pay data</v>
      </c>
      <c r="AC24" s="15"/>
      <c r="AD24" s="15"/>
    </row>
    <row r="25" customFormat="false" ht="23.85" hidden="false" customHeight="false" outlineLevel="0" collapsed="false">
      <c r="A25" s="11" t="s">
        <v>228</v>
      </c>
      <c r="B25" s="11" t="s">
        <v>229</v>
      </c>
      <c r="C25" s="11" t="s">
        <v>230</v>
      </c>
      <c r="D25" s="11" t="s">
        <v>111</v>
      </c>
      <c r="E25" s="11" t="s">
        <v>96</v>
      </c>
      <c r="F25" s="11" t="s">
        <v>97</v>
      </c>
      <c r="G25" s="11" t="s">
        <v>98</v>
      </c>
      <c r="H25" s="11" t="s">
        <v>99</v>
      </c>
      <c r="I25" s="11" t="s">
        <v>113</v>
      </c>
      <c r="J25" s="11" t="s">
        <v>231</v>
      </c>
      <c r="K25" s="11" t="s">
        <v>114</v>
      </c>
      <c r="L25" s="11" t="s">
        <v>143</v>
      </c>
      <c r="M25" s="11" t="s">
        <v>104</v>
      </c>
      <c r="N25" s="11" t="s">
        <v>157</v>
      </c>
      <c r="O25" s="11" t="s">
        <v>158</v>
      </c>
      <c r="P25" s="11" t="s">
        <v>232</v>
      </c>
      <c r="Q25" s="12" t="n">
        <v>2</v>
      </c>
      <c r="R25" s="12" t="n">
        <v>2</v>
      </c>
      <c r="S25" s="12" t="n">
        <v>2</v>
      </c>
      <c r="T25" s="12" t="n">
        <v>2</v>
      </c>
      <c r="U25" s="12" t="n">
        <v>3</v>
      </c>
      <c r="V25" s="13" t="n">
        <f aca="false">Q25*'Scoring model'!$B$8+R25*'Scoring model'!$B$9+S25*'Scoring model'!$B$10+T25*'Scoring model'!$B$11+U25*'Scoring model'!$B$12</f>
        <v>23.5</v>
      </c>
      <c r="W25" s="12"/>
      <c r="X25" s="12" t="n">
        <v>2</v>
      </c>
      <c r="Y25" s="12" t="n">
        <v>1</v>
      </c>
      <c r="Z25" s="12" t="n">
        <v>2</v>
      </c>
      <c r="AA25" s="12" t="n">
        <v>2</v>
      </c>
      <c r="AB25" s="14" t="str">
        <f aca="false">IF(W25="","Pending pay data",W25*'Scoring model'!$B$20+X25*'Scoring model'!$B$21+Y25*'Scoring model'!$B$22+Z25*'Scoring model'!$B$23+AA25*'Scoring model'!$B$24)</f>
        <v>Pending pay data</v>
      </c>
      <c r="AC25" s="15"/>
      <c r="AD25" s="15"/>
    </row>
    <row r="26" customFormat="false" ht="23.85" hidden="false" customHeight="false" outlineLevel="0" collapsed="false">
      <c r="A26" s="11" t="s">
        <v>233</v>
      </c>
      <c r="B26" s="11" t="s">
        <v>234</v>
      </c>
      <c r="C26" s="11" t="s">
        <v>162</v>
      </c>
      <c r="D26" s="11" t="s">
        <v>111</v>
      </c>
      <c r="E26" s="11" t="s">
        <v>194</v>
      </c>
      <c r="F26" s="11" t="s">
        <v>97</v>
      </c>
      <c r="G26" s="11" t="s">
        <v>98</v>
      </c>
      <c r="H26" s="11" t="s">
        <v>175</v>
      </c>
      <c r="I26" s="11" t="s">
        <v>113</v>
      </c>
      <c r="J26" s="11" t="s">
        <v>235</v>
      </c>
      <c r="K26" s="11" t="s">
        <v>114</v>
      </c>
      <c r="L26" s="11" t="s">
        <v>104</v>
      </c>
      <c r="M26" s="11" t="s">
        <v>104</v>
      </c>
      <c r="N26" s="11" t="s">
        <v>207</v>
      </c>
      <c r="O26" s="11" t="s">
        <v>189</v>
      </c>
      <c r="P26" s="11" t="s">
        <v>236</v>
      </c>
      <c r="Q26" s="12" t="n">
        <v>3</v>
      </c>
      <c r="R26" s="12" t="n">
        <v>2</v>
      </c>
      <c r="S26" s="12" t="n">
        <v>1</v>
      </c>
      <c r="T26" s="12" t="n">
        <v>2</v>
      </c>
      <c r="U26" s="12" t="n">
        <v>2</v>
      </c>
      <c r="V26" s="13" t="n">
        <f aca="false">Q26*'Scoring model'!$B$8+R26*'Scoring model'!$B$9+S26*'Scoring model'!$B$10+T26*'Scoring model'!$B$11+U26*'Scoring model'!$B$12</f>
        <v>23</v>
      </c>
      <c r="W26" s="12"/>
      <c r="X26" s="12" t="n">
        <v>2</v>
      </c>
      <c r="Y26" s="12" t="n">
        <v>2</v>
      </c>
      <c r="Z26" s="12" t="n">
        <v>3</v>
      </c>
      <c r="AA26" s="12" t="n">
        <v>3</v>
      </c>
      <c r="AB26" s="14" t="str">
        <f aca="false">IF(W26="","Pending pay data",W26*'Scoring model'!$B$20+X26*'Scoring model'!$B$21+Y26*'Scoring model'!$B$22+Z26*'Scoring model'!$B$23+AA26*'Scoring model'!$B$24)</f>
        <v>Pending pay data</v>
      </c>
      <c r="AC26" s="15"/>
      <c r="AD26" s="15"/>
    </row>
    <row r="27" customFormat="false" ht="23.85" hidden="false" customHeight="false" outlineLevel="0" collapsed="false">
      <c r="A27" s="11" t="s">
        <v>237</v>
      </c>
      <c r="B27" s="11" t="s">
        <v>238</v>
      </c>
      <c r="C27" s="11" t="s">
        <v>239</v>
      </c>
      <c r="D27" s="11" t="s">
        <v>240</v>
      </c>
      <c r="E27" s="11" t="s">
        <v>194</v>
      </c>
      <c r="F27" s="11" t="s">
        <v>97</v>
      </c>
      <c r="G27" s="11" t="s">
        <v>98</v>
      </c>
      <c r="H27" s="11" t="s">
        <v>99</v>
      </c>
      <c r="I27" s="11" t="s">
        <v>113</v>
      </c>
      <c r="J27" s="11" t="s">
        <v>241</v>
      </c>
      <c r="K27" s="11" t="s">
        <v>104</v>
      </c>
      <c r="L27" s="11" t="s">
        <v>103</v>
      </c>
      <c r="M27" s="11" t="s">
        <v>104</v>
      </c>
      <c r="N27" s="11" t="s">
        <v>242</v>
      </c>
      <c r="O27" s="11" t="s">
        <v>158</v>
      </c>
      <c r="P27" s="11" t="s">
        <v>243</v>
      </c>
      <c r="Q27" s="12" t="n">
        <v>3</v>
      </c>
      <c r="R27" s="12" t="n">
        <v>2</v>
      </c>
      <c r="S27" s="12" t="n">
        <v>2</v>
      </c>
      <c r="T27" s="12" t="n">
        <v>1</v>
      </c>
      <c r="U27" s="12" t="n">
        <v>2</v>
      </c>
      <c r="V27" s="13" t="n">
        <f aca="false">Q27*'Scoring model'!$B$8+R27*'Scoring model'!$B$9+S27*'Scoring model'!$B$10+T27*'Scoring model'!$B$11+U27*'Scoring model'!$B$12</f>
        <v>23</v>
      </c>
      <c r="W27" s="12"/>
      <c r="X27" s="12" t="n">
        <v>2</v>
      </c>
      <c r="Y27" s="12" t="n">
        <v>2</v>
      </c>
      <c r="Z27" s="12" t="n">
        <v>3</v>
      </c>
      <c r="AA27" s="12" t="n">
        <v>3</v>
      </c>
      <c r="AB27" s="14" t="str">
        <f aca="false">IF(W27="","Pending pay data",W27*'Scoring model'!$B$20+X27*'Scoring model'!$B$21+Y27*'Scoring model'!$B$22+Z27*'Scoring model'!$B$23+AA27*'Scoring model'!$B$24)</f>
        <v>Pending pay data</v>
      </c>
      <c r="AC27" s="15"/>
      <c r="AD27" s="15"/>
    </row>
    <row r="28" customFormat="false" ht="15" hidden="false" customHeight="false" outlineLevel="0" collapsed="false">
      <c r="A28" s="11" t="s">
        <v>244</v>
      </c>
      <c r="B28" s="11" t="s">
        <v>245</v>
      </c>
      <c r="C28" s="11" t="s">
        <v>246</v>
      </c>
      <c r="D28" s="11" t="s">
        <v>240</v>
      </c>
      <c r="E28" s="11" t="s">
        <v>247</v>
      </c>
      <c r="F28" s="11" t="s">
        <v>132</v>
      </c>
      <c r="G28" s="11" t="s">
        <v>98</v>
      </c>
      <c r="H28" s="11" t="s">
        <v>99</v>
      </c>
      <c r="I28" s="11" t="s">
        <v>113</v>
      </c>
      <c r="J28" s="11" t="s">
        <v>104</v>
      </c>
      <c r="K28" s="11" t="s">
        <v>104</v>
      </c>
      <c r="L28" s="11" t="s">
        <v>143</v>
      </c>
      <c r="M28" s="11" t="s">
        <v>104</v>
      </c>
      <c r="N28" s="11" t="s">
        <v>248</v>
      </c>
      <c r="O28" s="11" t="s">
        <v>158</v>
      </c>
      <c r="P28" s="11" t="s">
        <v>249</v>
      </c>
      <c r="Q28" s="12" t="n">
        <v>3</v>
      </c>
      <c r="R28" s="12" t="n">
        <v>2</v>
      </c>
      <c r="S28" s="12" t="n">
        <v>2</v>
      </c>
      <c r="T28" s="12" t="n">
        <v>1</v>
      </c>
      <c r="U28" s="12" t="n">
        <v>2</v>
      </c>
      <c r="V28" s="13" t="n">
        <f aca="false">Q28*'Scoring model'!$B$8+R28*'Scoring model'!$B$9+S28*'Scoring model'!$B$10+T28*'Scoring model'!$B$11+U28*'Scoring model'!$B$12</f>
        <v>23</v>
      </c>
      <c r="W28" s="12"/>
      <c r="X28" s="12" t="n">
        <v>1</v>
      </c>
      <c r="Y28" s="12" t="n">
        <v>1</v>
      </c>
      <c r="Z28" s="12" t="n">
        <v>3</v>
      </c>
      <c r="AA28" s="12" t="n">
        <v>3</v>
      </c>
      <c r="AB28" s="14" t="str">
        <f aca="false">IF(W28="","Pending pay data",W28*'Scoring model'!$B$20+X28*'Scoring model'!$B$21+Y28*'Scoring model'!$B$22+Z28*'Scoring model'!$B$23+AA28*'Scoring model'!$B$24)</f>
        <v>Pending pay data</v>
      </c>
      <c r="AC28" s="15"/>
      <c r="AD28" s="15"/>
    </row>
    <row r="29" customFormat="false" ht="35.05" hidden="false" customHeight="false" outlineLevel="0" collapsed="false">
      <c r="A29" s="11" t="s">
        <v>250</v>
      </c>
      <c r="B29" s="11" t="s">
        <v>251</v>
      </c>
      <c r="C29" s="11" t="s">
        <v>110</v>
      </c>
      <c r="D29" s="11" t="s">
        <v>111</v>
      </c>
      <c r="E29" s="11" t="s">
        <v>252</v>
      </c>
      <c r="F29" s="11" t="s">
        <v>132</v>
      </c>
      <c r="G29" s="11" t="s">
        <v>98</v>
      </c>
      <c r="H29" s="11" t="s">
        <v>112</v>
      </c>
      <c r="I29" s="11" t="s">
        <v>113</v>
      </c>
      <c r="J29" s="11" t="s">
        <v>253</v>
      </c>
      <c r="K29" s="11" t="s">
        <v>114</v>
      </c>
      <c r="L29" s="11" t="s">
        <v>254</v>
      </c>
      <c r="M29" s="11" t="s">
        <v>104</v>
      </c>
      <c r="N29" s="11" t="s">
        <v>255</v>
      </c>
      <c r="O29" s="11" t="s">
        <v>256</v>
      </c>
      <c r="P29" s="11" t="s">
        <v>257</v>
      </c>
      <c r="Q29" s="12" t="n">
        <v>2</v>
      </c>
      <c r="R29" s="12" t="n">
        <v>2</v>
      </c>
      <c r="S29" s="12" t="n">
        <v>3</v>
      </c>
      <c r="T29" s="12" t="n">
        <v>2</v>
      </c>
      <c r="U29" s="12" t="n">
        <v>1</v>
      </c>
      <c r="V29" s="13" t="n">
        <f aca="false">Q29*'Scoring model'!$B$8+R29*'Scoring model'!$B$9+S29*'Scoring model'!$B$10+T29*'Scoring model'!$B$11+U29*'Scoring model'!$B$12</f>
        <v>22.5</v>
      </c>
      <c r="W29" s="12"/>
      <c r="X29" s="12" t="n">
        <v>3</v>
      </c>
      <c r="Y29" s="12" t="n">
        <v>3</v>
      </c>
      <c r="Z29" s="12" t="n">
        <v>2</v>
      </c>
      <c r="AA29" s="12" t="n">
        <v>2</v>
      </c>
      <c r="AB29" s="14" t="str">
        <f aca="false">IF(W29="","Pending pay data",W29*'Scoring model'!$B$20+X29*'Scoring model'!$B$21+Y29*'Scoring model'!$B$22+Z29*'Scoring model'!$B$23+AA29*'Scoring model'!$B$24)</f>
        <v>Pending pay data</v>
      </c>
      <c r="AC29" s="15"/>
      <c r="AD29" s="15"/>
    </row>
    <row r="30" customFormat="false" ht="23.85" hidden="false" customHeight="false" outlineLevel="0" collapsed="false">
      <c r="A30" s="11" t="s">
        <v>258</v>
      </c>
      <c r="B30" s="11" t="s">
        <v>259</v>
      </c>
      <c r="C30" s="11" t="s">
        <v>230</v>
      </c>
      <c r="D30" s="11" t="s">
        <v>111</v>
      </c>
      <c r="E30" s="11" t="s">
        <v>96</v>
      </c>
      <c r="F30" s="11" t="s">
        <v>97</v>
      </c>
      <c r="G30" s="11" t="s">
        <v>98</v>
      </c>
      <c r="H30" s="11" t="s">
        <v>175</v>
      </c>
      <c r="I30" s="11" t="s">
        <v>113</v>
      </c>
      <c r="J30" s="11" t="s">
        <v>260</v>
      </c>
      <c r="K30" s="11" t="s">
        <v>104</v>
      </c>
      <c r="L30" s="11" t="s">
        <v>104</v>
      </c>
      <c r="M30" s="11" t="s">
        <v>104</v>
      </c>
      <c r="N30" s="11" t="s">
        <v>212</v>
      </c>
      <c r="O30" s="11" t="s">
        <v>189</v>
      </c>
      <c r="P30" s="11" t="s">
        <v>261</v>
      </c>
      <c r="Q30" s="12" t="n">
        <v>2</v>
      </c>
      <c r="R30" s="12" t="n">
        <v>2</v>
      </c>
      <c r="S30" s="12" t="n">
        <v>1</v>
      </c>
      <c r="T30" s="12" t="n">
        <v>2</v>
      </c>
      <c r="U30" s="12" t="n">
        <v>3</v>
      </c>
      <c r="V30" s="13" t="n">
        <f aca="false">Q30*'Scoring model'!$B$8+R30*'Scoring model'!$B$9+S30*'Scoring model'!$B$10+T30*'Scoring model'!$B$11+U30*'Scoring model'!$B$12</f>
        <v>21.5</v>
      </c>
      <c r="W30" s="12"/>
      <c r="X30" s="12" t="n">
        <v>1</v>
      </c>
      <c r="Y30" s="12" t="n">
        <v>2</v>
      </c>
      <c r="Z30" s="12" t="n">
        <v>2</v>
      </c>
      <c r="AA30" s="12" t="n">
        <v>3</v>
      </c>
      <c r="AB30" s="14" t="str">
        <f aca="false">IF(W30="","Pending pay data",W30*'Scoring model'!$B$20+X30*'Scoring model'!$B$21+Y30*'Scoring model'!$B$22+Z30*'Scoring model'!$B$23+AA30*'Scoring model'!$B$24)</f>
        <v>Pending pay data</v>
      </c>
      <c r="AC30" s="15"/>
      <c r="AD30" s="15"/>
    </row>
    <row r="31" customFormat="false" ht="23.85" hidden="false" customHeight="false" outlineLevel="0" collapsed="false">
      <c r="A31" s="11" t="s">
        <v>262</v>
      </c>
      <c r="B31" s="11" t="s">
        <v>263</v>
      </c>
      <c r="C31" s="11" t="s">
        <v>264</v>
      </c>
      <c r="D31" s="11" t="s">
        <v>111</v>
      </c>
      <c r="E31" s="11" t="s">
        <v>96</v>
      </c>
      <c r="F31" s="11" t="s">
        <v>97</v>
      </c>
      <c r="G31" s="11" t="s">
        <v>98</v>
      </c>
      <c r="H31" s="11" t="s">
        <v>175</v>
      </c>
      <c r="I31" s="11" t="s">
        <v>113</v>
      </c>
      <c r="J31" s="11" t="s">
        <v>265</v>
      </c>
      <c r="K31" s="11" t="s">
        <v>104</v>
      </c>
      <c r="L31" s="11" t="s">
        <v>103</v>
      </c>
      <c r="M31" s="11" t="s">
        <v>104</v>
      </c>
      <c r="N31" s="11" t="s">
        <v>266</v>
      </c>
      <c r="O31" s="11" t="s">
        <v>189</v>
      </c>
      <c r="P31" s="11" t="s">
        <v>267</v>
      </c>
      <c r="Q31" s="12" t="n">
        <v>2</v>
      </c>
      <c r="R31" s="12" t="n">
        <v>2</v>
      </c>
      <c r="S31" s="12" t="n">
        <v>1</v>
      </c>
      <c r="T31" s="12" t="n">
        <v>2</v>
      </c>
      <c r="U31" s="12" t="n">
        <v>3</v>
      </c>
      <c r="V31" s="13" t="n">
        <f aca="false">Q31*'Scoring model'!$B$8+R31*'Scoring model'!$B$9+S31*'Scoring model'!$B$10+T31*'Scoring model'!$B$11+U31*'Scoring model'!$B$12</f>
        <v>21.5</v>
      </c>
      <c r="W31" s="12"/>
      <c r="X31" s="12" t="n">
        <v>1</v>
      </c>
      <c r="Y31" s="12" t="n">
        <v>2</v>
      </c>
      <c r="Z31" s="12" t="n">
        <v>2</v>
      </c>
      <c r="AA31" s="12" t="n">
        <v>3</v>
      </c>
      <c r="AB31" s="14" t="str">
        <f aca="false">IF(W31="","Pending pay data",W31*'Scoring model'!$B$20+X31*'Scoring model'!$B$21+Y31*'Scoring model'!$B$22+Z31*'Scoring model'!$B$23+AA31*'Scoring model'!$B$24)</f>
        <v>Pending pay data</v>
      </c>
      <c r="AC31" s="15"/>
      <c r="AD31" s="15"/>
    </row>
    <row r="32" customFormat="false" ht="35.05" hidden="false" customHeight="false" outlineLevel="0" collapsed="false">
      <c r="A32" s="11" t="s">
        <v>268</v>
      </c>
      <c r="B32" s="11" t="s">
        <v>269</v>
      </c>
      <c r="C32" s="11" t="s">
        <v>95</v>
      </c>
      <c r="D32" s="11" t="s">
        <v>95</v>
      </c>
      <c r="E32" s="11" t="s">
        <v>270</v>
      </c>
      <c r="F32" s="11" t="s">
        <v>132</v>
      </c>
      <c r="G32" s="11" t="s">
        <v>98</v>
      </c>
      <c r="H32" s="11" t="s">
        <v>112</v>
      </c>
      <c r="I32" s="11" t="s">
        <v>113</v>
      </c>
      <c r="J32" s="11" t="s">
        <v>104</v>
      </c>
      <c r="K32" s="11" t="s">
        <v>104</v>
      </c>
      <c r="L32" s="11" t="s">
        <v>103</v>
      </c>
      <c r="M32" s="11" t="s">
        <v>104</v>
      </c>
      <c r="N32" s="11" t="s">
        <v>271</v>
      </c>
      <c r="O32" s="11" t="s">
        <v>272</v>
      </c>
      <c r="P32" s="11" t="s">
        <v>273</v>
      </c>
      <c r="Q32" s="12" t="n">
        <v>1</v>
      </c>
      <c r="R32" s="12" t="n">
        <v>2</v>
      </c>
      <c r="S32" s="12" t="n">
        <v>3</v>
      </c>
      <c r="T32" s="12" t="n">
        <v>3</v>
      </c>
      <c r="U32" s="12" t="n">
        <v>1</v>
      </c>
      <c r="V32" s="13" t="n">
        <f aca="false">Q32*'Scoring model'!$B$8+R32*'Scoring model'!$B$9+S32*'Scoring model'!$B$10+T32*'Scoring model'!$B$11+U32*'Scoring model'!$B$12</f>
        <v>21.5</v>
      </c>
      <c r="W32" s="12"/>
      <c r="X32" s="12" t="n">
        <v>3</v>
      </c>
      <c r="Y32" s="12" t="n">
        <v>3</v>
      </c>
      <c r="Z32" s="12" t="n">
        <v>1</v>
      </c>
      <c r="AA32" s="12" t="n">
        <v>3</v>
      </c>
      <c r="AB32" s="14" t="str">
        <f aca="false">IF(W32="","Pending pay data",W32*'Scoring model'!$B$20+X32*'Scoring model'!$B$21+Y32*'Scoring model'!$B$22+Z32*'Scoring model'!$B$23+AA32*'Scoring model'!$B$24)</f>
        <v>Pending pay data</v>
      </c>
      <c r="AC32" s="15"/>
      <c r="AD32" s="15"/>
    </row>
    <row r="33" customFormat="false" ht="23.85" hidden="false" customHeight="false" outlineLevel="0" collapsed="false">
      <c r="A33" s="11" t="s">
        <v>274</v>
      </c>
      <c r="B33" s="11" t="s">
        <v>275</v>
      </c>
      <c r="C33" s="11" t="s">
        <v>162</v>
      </c>
      <c r="D33" s="11" t="s">
        <v>111</v>
      </c>
      <c r="E33" s="11" t="s">
        <v>194</v>
      </c>
      <c r="F33" s="11" t="s">
        <v>97</v>
      </c>
      <c r="G33" s="11" t="s">
        <v>98</v>
      </c>
      <c r="H33" s="11" t="s">
        <v>175</v>
      </c>
      <c r="I33" s="11" t="s">
        <v>113</v>
      </c>
      <c r="J33" s="11" t="s">
        <v>104</v>
      </c>
      <c r="K33" s="11" t="s">
        <v>114</v>
      </c>
      <c r="L33" s="11" t="s">
        <v>104</v>
      </c>
      <c r="M33" s="11" t="s">
        <v>104</v>
      </c>
      <c r="N33" s="11" t="s">
        <v>207</v>
      </c>
      <c r="O33" s="11" t="s">
        <v>189</v>
      </c>
      <c r="P33" s="11" t="s">
        <v>276</v>
      </c>
      <c r="Q33" s="12" t="n">
        <v>2</v>
      </c>
      <c r="R33" s="12" t="n">
        <v>2</v>
      </c>
      <c r="S33" s="12" t="n">
        <v>1</v>
      </c>
      <c r="T33" s="12" t="n">
        <v>2</v>
      </c>
      <c r="U33" s="12" t="n">
        <v>2</v>
      </c>
      <c r="V33" s="13" t="n">
        <f aca="false">Q33*'Scoring model'!$B$8+R33*'Scoring model'!$B$9+S33*'Scoring model'!$B$10+T33*'Scoring model'!$B$11+U33*'Scoring model'!$B$12</f>
        <v>20</v>
      </c>
      <c r="W33" s="12"/>
      <c r="X33" s="12" t="n">
        <v>2</v>
      </c>
      <c r="Y33" s="12" t="n">
        <v>2</v>
      </c>
      <c r="Z33" s="12" t="n">
        <v>2</v>
      </c>
      <c r="AA33" s="12" t="n">
        <v>3</v>
      </c>
      <c r="AB33" s="14" t="str">
        <f aca="false">IF(W33="","Pending pay data",W33*'Scoring model'!$B$20+X33*'Scoring model'!$B$21+Y33*'Scoring model'!$B$22+Z33*'Scoring model'!$B$23+AA33*'Scoring model'!$B$24)</f>
        <v>Pending pay data</v>
      </c>
      <c r="AC33" s="15"/>
      <c r="AD33" s="15"/>
    </row>
    <row r="34" customFormat="false" ht="23.85" hidden="false" customHeight="false" outlineLevel="0" collapsed="false">
      <c r="A34" s="11" t="s">
        <v>277</v>
      </c>
      <c r="B34" s="11" t="s">
        <v>278</v>
      </c>
      <c r="C34" s="11" t="s">
        <v>110</v>
      </c>
      <c r="D34" s="11" t="s">
        <v>111</v>
      </c>
      <c r="E34" s="11" t="s">
        <v>279</v>
      </c>
      <c r="F34" s="11" t="s">
        <v>132</v>
      </c>
      <c r="G34" s="11" t="s">
        <v>98</v>
      </c>
      <c r="H34" s="11" t="s">
        <v>175</v>
      </c>
      <c r="I34" s="11" t="s">
        <v>113</v>
      </c>
      <c r="J34" s="11" t="s">
        <v>104</v>
      </c>
      <c r="K34" s="11" t="s">
        <v>114</v>
      </c>
      <c r="L34" s="11" t="s">
        <v>280</v>
      </c>
      <c r="M34" s="11" t="s">
        <v>104</v>
      </c>
      <c r="N34" s="11" t="s">
        <v>281</v>
      </c>
      <c r="O34" s="11" t="s">
        <v>203</v>
      </c>
      <c r="P34" s="11" t="s">
        <v>282</v>
      </c>
      <c r="Q34" s="12" t="n">
        <v>2</v>
      </c>
      <c r="R34" s="12" t="n">
        <v>2</v>
      </c>
      <c r="S34" s="12" t="n">
        <v>1</v>
      </c>
      <c r="T34" s="12" t="n">
        <v>2</v>
      </c>
      <c r="U34" s="12" t="n">
        <v>1</v>
      </c>
      <c r="V34" s="13" t="n">
        <f aca="false">Q34*'Scoring model'!$B$8+R34*'Scoring model'!$B$9+S34*'Scoring model'!$B$10+T34*'Scoring model'!$B$11+U34*'Scoring model'!$B$12</f>
        <v>18.5</v>
      </c>
      <c r="W34" s="12"/>
      <c r="X34" s="12" t="n">
        <v>2</v>
      </c>
      <c r="Y34" s="12" t="n">
        <v>2</v>
      </c>
      <c r="Z34" s="12" t="n">
        <v>2</v>
      </c>
      <c r="AA34" s="12" t="n">
        <v>3</v>
      </c>
      <c r="AB34" s="14" t="str">
        <f aca="false">IF(W34="","Pending pay data",W34*'Scoring model'!$B$20+X34*'Scoring model'!$B$21+Y34*'Scoring model'!$B$22+Z34*'Scoring model'!$B$23+AA34*'Scoring model'!$B$24)</f>
        <v>Pending pay data</v>
      </c>
      <c r="AC34" s="15"/>
      <c r="AD34" s="15"/>
    </row>
    <row r="35" customFormat="false" ht="35.05" hidden="false" customHeight="false" outlineLevel="0" collapsed="false">
      <c r="A35" s="11" t="s">
        <v>283</v>
      </c>
      <c r="B35" s="11" t="s">
        <v>284</v>
      </c>
      <c r="C35" s="11" t="s">
        <v>162</v>
      </c>
      <c r="D35" s="11" t="s">
        <v>111</v>
      </c>
      <c r="E35" s="11" t="s">
        <v>285</v>
      </c>
      <c r="F35" s="11" t="s">
        <v>132</v>
      </c>
      <c r="G35" s="11" t="s">
        <v>98</v>
      </c>
      <c r="H35" s="11" t="s">
        <v>112</v>
      </c>
      <c r="I35" s="11" t="s">
        <v>286</v>
      </c>
      <c r="J35" s="11" t="s">
        <v>104</v>
      </c>
      <c r="K35" s="11" t="s">
        <v>287</v>
      </c>
      <c r="L35" s="11" t="s">
        <v>288</v>
      </c>
      <c r="M35" s="11" t="s">
        <v>104</v>
      </c>
      <c r="N35" s="11" t="s">
        <v>289</v>
      </c>
      <c r="O35" s="11" t="s">
        <v>290</v>
      </c>
      <c r="P35" s="11" t="s">
        <v>291</v>
      </c>
      <c r="Q35" s="12" t="n">
        <v>1</v>
      </c>
      <c r="R35" s="12" t="n">
        <v>1</v>
      </c>
      <c r="S35" s="12" t="n">
        <v>3</v>
      </c>
      <c r="T35" s="12" t="n">
        <v>2</v>
      </c>
      <c r="U35" s="12" t="n">
        <v>2</v>
      </c>
      <c r="V35" s="13" t="n">
        <f aca="false">Q35*'Scoring model'!$B$8+R35*'Scoring model'!$B$9+S35*'Scoring model'!$B$10+T35*'Scoring model'!$B$11+U35*'Scoring model'!$B$12</f>
        <v>18.5</v>
      </c>
      <c r="W35" s="12"/>
      <c r="X35" s="12" t="n">
        <v>3</v>
      </c>
      <c r="Y35" s="12" t="n">
        <v>3</v>
      </c>
      <c r="Z35" s="12" t="n">
        <v>1</v>
      </c>
      <c r="AA35" s="12" t="n">
        <v>1</v>
      </c>
      <c r="AB35" s="14" t="str">
        <f aca="false">IF(W35="","Pending pay data",W35*'Scoring model'!$B$20+X35*'Scoring model'!$B$21+Y35*'Scoring model'!$B$22+Z35*'Scoring model'!$B$23+AA35*'Scoring model'!$B$24)</f>
        <v>Pending pay data</v>
      </c>
      <c r="AC35" s="15"/>
      <c r="AD35" s="15"/>
    </row>
    <row r="36" customFormat="false" ht="23.85" hidden="false" customHeight="false" outlineLevel="0" collapsed="false">
      <c r="A36" s="11" t="s">
        <v>292</v>
      </c>
      <c r="B36" s="11" t="s">
        <v>293</v>
      </c>
      <c r="C36" s="11" t="s">
        <v>294</v>
      </c>
      <c r="D36" s="11" t="s">
        <v>111</v>
      </c>
      <c r="E36" s="11" t="s">
        <v>295</v>
      </c>
      <c r="F36" s="11" t="s">
        <v>132</v>
      </c>
      <c r="G36" s="11" t="s">
        <v>98</v>
      </c>
      <c r="H36" s="11" t="s">
        <v>99</v>
      </c>
      <c r="I36" s="11" t="s">
        <v>113</v>
      </c>
      <c r="J36" s="11" t="s">
        <v>104</v>
      </c>
      <c r="K36" s="11" t="s">
        <v>104</v>
      </c>
      <c r="L36" s="11" t="s">
        <v>104</v>
      </c>
      <c r="M36" s="11" t="s">
        <v>104</v>
      </c>
      <c r="N36" s="11" t="s">
        <v>296</v>
      </c>
      <c r="O36" s="11" t="s">
        <v>297</v>
      </c>
      <c r="P36" s="11" t="s">
        <v>298</v>
      </c>
      <c r="Q36" s="12" t="n">
        <v>1</v>
      </c>
      <c r="R36" s="12" t="n">
        <v>2</v>
      </c>
      <c r="S36" s="12" t="n">
        <v>2</v>
      </c>
      <c r="T36" s="12" t="n">
        <v>2</v>
      </c>
      <c r="U36" s="12" t="n">
        <v>1</v>
      </c>
      <c r="V36" s="13" t="n">
        <f aca="false">Q36*'Scoring model'!$B$8+R36*'Scoring model'!$B$9+S36*'Scoring model'!$B$10+T36*'Scoring model'!$B$11+U36*'Scoring model'!$B$12</f>
        <v>17.5</v>
      </c>
      <c r="W36" s="12"/>
      <c r="X36" s="12" t="n">
        <v>3</v>
      </c>
      <c r="Y36" s="12" t="n">
        <v>3</v>
      </c>
      <c r="Z36" s="12" t="n">
        <v>1</v>
      </c>
      <c r="AA36" s="12" t="n">
        <v>3</v>
      </c>
      <c r="AB36" s="14" t="str">
        <f aca="false">IF(W36="","Pending pay data",W36*'Scoring model'!$B$20+X36*'Scoring model'!$B$21+Y36*'Scoring model'!$B$22+Z36*'Scoring model'!$B$23+AA36*'Scoring model'!$B$24)</f>
        <v>Pending pay data</v>
      </c>
      <c r="AC36" s="15"/>
      <c r="AD36" s="15"/>
    </row>
    <row r="37" customFormat="false" ht="35.05" hidden="false" customHeight="false" outlineLevel="0" collapsed="false">
      <c r="A37" s="11" t="s">
        <v>299</v>
      </c>
      <c r="B37" s="11" t="s">
        <v>300</v>
      </c>
      <c r="C37" s="11" t="s">
        <v>220</v>
      </c>
      <c r="D37" s="11" t="s">
        <v>111</v>
      </c>
      <c r="E37" s="11" t="s">
        <v>301</v>
      </c>
      <c r="F37" s="11" t="s">
        <v>132</v>
      </c>
      <c r="G37" s="11" t="s">
        <v>98</v>
      </c>
      <c r="H37" s="11" t="s">
        <v>99</v>
      </c>
      <c r="I37" s="11" t="s">
        <v>113</v>
      </c>
      <c r="J37" s="11" t="s">
        <v>104</v>
      </c>
      <c r="K37" s="11" t="s">
        <v>114</v>
      </c>
      <c r="L37" s="11" t="s">
        <v>103</v>
      </c>
      <c r="M37" s="11" t="s">
        <v>104</v>
      </c>
      <c r="N37" s="11" t="s">
        <v>302</v>
      </c>
      <c r="O37" s="11" t="s">
        <v>303</v>
      </c>
      <c r="P37" s="11" t="s">
        <v>304</v>
      </c>
      <c r="Q37" s="12" t="n">
        <v>1</v>
      </c>
      <c r="R37" s="12" t="n">
        <v>2</v>
      </c>
      <c r="S37" s="12" t="n">
        <v>2</v>
      </c>
      <c r="T37" s="12" t="n">
        <v>2</v>
      </c>
      <c r="U37" s="12" t="n">
        <v>1</v>
      </c>
      <c r="V37" s="13" t="n">
        <f aca="false">Q37*'Scoring model'!$B$8+R37*'Scoring model'!$B$9+S37*'Scoring model'!$B$10+T37*'Scoring model'!$B$11+U37*'Scoring model'!$B$12</f>
        <v>17.5</v>
      </c>
      <c r="W37" s="12"/>
      <c r="X37" s="12" t="n">
        <v>3</v>
      </c>
      <c r="Y37" s="12" t="n">
        <v>3</v>
      </c>
      <c r="Z37" s="12" t="n">
        <v>1</v>
      </c>
      <c r="AA37" s="12" t="n">
        <v>2</v>
      </c>
      <c r="AB37" s="14" t="str">
        <f aca="false">IF(W37="","Pending pay data",W37*'Scoring model'!$B$20+X37*'Scoring model'!$B$21+Y37*'Scoring model'!$B$22+Z37*'Scoring model'!$B$23+AA37*'Scoring model'!$B$24)</f>
        <v>Pending pay data</v>
      </c>
      <c r="AC37" s="15"/>
      <c r="AD37" s="15"/>
    </row>
    <row r="39" customFormat="false" ht="15" hidden="false" customHeight="false" outlineLevel="0" collapsed="false">
      <c r="A39" s="3" t="s">
        <v>305</v>
      </c>
    </row>
    <row r="40" customFormat="false" ht="15" hidden="false" customHeight="false" outlineLevel="0" collapsed="false">
      <c r="A40" s="8" t="s">
        <v>306</v>
      </c>
      <c r="B40" s="8"/>
      <c r="C40" s="8"/>
      <c r="D40" s="8"/>
      <c r="E40" s="8"/>
      <c r="F40" s="8"/>
      <c r="G40" s="8"/>
      <c r="H40" s="8"/>
      <c r="I40" s="8"/>
      <c r="J40" s="8"/>
      <c r="K40" s="8"/>
      <c r="L40" s="8"/>
    </row>
    <row r="41" customFormat="false" ht="15" hidden="false" customHeight="false" outlineLevel="0" collapsed="false">
      <c r="A41" s="8" t="s">
        <v>307</v>
      </c>
      <c r="B41" s="8"/>
      <c r="C41" s="8"/>
      <c r="D41" s="8"/>
      <c r="E41" s="8"/>
      <c r="F41" s="8"/>
      <c r="G41" s="8"/>
      <c r="H41" s="8"/>
      <c r="I41" s="8"/>
      <c r="J41" s="8"/>
      <c r="K41" s="8"/>
      <c r="L41" s="8"/>
    </row>
    <row r="42" customFormat="false" ht="15" hidden="false" customHeight="false" outlineLevel="0" collapsed="false">
      <c r="A42" s="8" t="s">
        <v>308</v>
      </c>
      <c r="B42" s="8"/>
      <c r="C42" s="8"/>
      <c r="D42" s="8"/>
      <c r="E42" s="8"/>
      <c r="F42" s="8"/>
      <c r="G42" s="8"/>
      <c r="H42" s="8"/>
      <c r="I42" s="8"/>
      <c r="J42" s="8"/>
      <c r="K42" s="8"/>
      <c r="L42" s="8"/>
    </row>
    <row r="43" customFormat="false" ht="15" hidden="false" customHeight="false" outlineLevel="0" collapsed="false">
      <c r="A43" s="8" t="s">
        <v>309</v>
      </c>
      <c r="B43" s="8"/>
      <c r="C43" s="8"/>
      <c r="D43" s="8"/>
      <c r="E43" s="8"/>
      <c r="F43" s="8"/>
      <c r="G43" s="8"/>
      <c r="H43" s="8"/>
      <c r="I43" s="8"/>
      <c r="J43" s="8"/>
      <c r="K43" s="8"/>
      <c r="L43" s="8"/>
    </row>
    <row r="44" customFormat="false" ht="15" hidden="false" customHeight="false" outlineLevel="0" collapsed="false">
      <c r="A44" s="8" t="s">
        <v>310</v>
      </c>
      <c r="B44" s="8"/>
      <c r="C44" s="8"/>
      <c r="D44" s="8"/>
      <c r="E44" s="8"/>
      <c r="F44" s="8"/>
      <c r="G44" s="8"/>
      <c r="H44" s="8"/>
      <c r="I44" s="8"/>
      <c r="J44" s="8"/>
      <c r="K44" s="8"/>
      <c r="L44" s="8"/>
    </row>
  </sheetData>
  <autoFilter ref="A4:AD37"/>
  <mergeCells count="6">
    <mergeCell ref="A2:AD2"/>
    <mergeCell ref="A40:L40"/>
    <mergeCell ref="A41:L41"/>
    <mergeCell ref="A42:L42"/>
    <mergeCell ref="A43:L43"/>
    <mergeCell ref="A44:L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2"/>
    <col collapsed="false" customWidth="true" hidden="false" outlineLevel="0" max="4" min="4" style="0" width="46"/>
    <col collapsed="false" customWidth="true" hidden="false" outlineLevel="0" max="5" min="5" style="0" width="74"/>
    <col collapsed="false" customWidth="true" hidden="false" outlineLevel="0" max="6" min="6" style="0" width="46"/>
  </cols>
  <sheetData>
    <row r="1" customFormat="false" ht="17.35" hidden="false" customHeight="false" outlineLevel="0" collapsed="false">
      <c r="A1" s="1" t="s">
        <v>311</v>
      </c>
    </row>
    <row r="2" customFormat="false" ht="27.75" hidden="false" customHeight="true" outlineLevel="0" collapsed="false">
      <c r="A2" s="2" t="s">
        <v>312</v>
      </c>
      <c r="B2" s="2"/>
      <c r="C2" s="2"/>
      <c r="D2" s="2"/>
      <c r="E2" s="2"/>
      <c r="F2" s="2"/>
    </row>
    <row r="4" customFormat="false" ht="15" hidden="false" customHeight="false" outlineLevel="0" collapsed="false">
      <c r="A4" s="16" t="s">
        <v>313</v>
      </c>
      <c r="B4" s="16" t="s">
        <v>63</v>
      </c>
      <c r="C4" s="16" t="s">
        <v>314</v>
      </c>
      <c r="D4" s="16" t="s">
        <v>315</v>
      </c>
      <c r="E4" s="16" t="s">
        <v>316</v>
      </c>
      <c r="F4" s="16" t="s">
        <v>317</v>
      </c>
    </row>
    <row r="5" customFormat="false" ht="72" hidden="false" customHeight="true" outlineLevel="0" collapsed="false">
      <c r="A5" s="17" t="n">
        <v>1</v>
      </c>
      <c r="B5" s="17" t="s">
        <v>93</v>
      </c>
      <c r="C5" s="11" t="n">
        <f aca="false">INDEX(Prospects!$V$5:$V$37,MATCH(B5,Prospects!$A$5:$A$37,0))</f>
        <v>31</v>
      </c>
      <c r="D5" s="11" t="s">
        <v>318</v>
      </c>
      <c r="E5" s="11" t="s">
        <v>319</v>
      </c>
      <c r="F5" s="11" t="s">
        <v>320</v>
      </c>
    </row>
    <row r="6" customFormat="false" ht="72" hidden="false" customHeight="true" outlineLevel="0" collapsed="false">
      <c r="A6" s="17" t="n">
        <v>2</v>
      </c>
      <c r="B6" s="17" t="s">
        <v>108</v>
      </c>
      <c r="C6" s="11" t="n">
        <f aca="false">INDEX(Prospects!$V$5:$V$37,MATCH(B6,Prospects!$A$5:$A$37,0))</f>
        <v>28</v>
      </c>
      <c r="D6" s="11" t="s">
        <v>321</v>
      </c>
      <c r="E6" s="11" t="s">
        <v>322</v>
      </c>
      <c r="F6" s="11" t="s">
        <v>323</v>
      </c>
    </row>
    <row r="7" customFormat="false" ht="72" hidden="false" customHeight="true" outlineLevel="0" collapsed="false">
      <c r="A7" s="17" t="n">
        <v>3</v>
      </c>
      <c r="B7" s="17" t="s">
        <v>120</v>
      </c>
      <c r="C7" s="11" t="n">
        <f aca="false">INDEX(Prospects!$V$5:$V$37,MATCH(B7,Prospects!$A$5:$A$37,0))</f>
        <v>28</v>
      </c>
      <c r="D7" s="11" t="s">
        <v>324</v>
      </c>
      <c r="E7" s="11" t="s">
        <v>325</v>
      </c>
      <c r="F7" s="11" t="s">
        <v>326</v>
      </c>
    </row>
    <row r="8" customFormat="false" ht="72" hidden="false" customHeight="true" outlineLevel="0" collapsed="false">
      <c r="A8" s="17" t="n">
        <v>4</v>
      </c>
      <c r="B8" s="17" t="s">
        <v>129</v>
      </c>
      <c r="C8" s="11" t="n">
        <f aca="false">INDEX(Prospects!$V$5:$V$37,MATCH(B8,Prospects!$A$5:$A$37,0))</f>
        <v>27.5</v>
      </c>
      <c r="D8" s="11" t="s">
        <v>327</v>
      </c>
      <c r="E8" s="11" t="s">
        <v>328</v>
      </c>
      <c r="F8" s="11" t="s">
        <v>329</v>
      </c>
    </row>
    <row r="9" customFormat="false" ht="72" hidden="false" customHeight="true" outlineLevel="0" collapsed="false">
      <c r="A9" s="17" t="n">
        <v>5</v>
      </c>
      <c r="B9" s="17" t="s">
        <v>137</v>
      </c>
      <c r="C9" s="11" t="n">
        <f aca="false">INDEX(Prospects!$V$5:$V$37,MATCH(B9,Prospects!$A$5:$A$37,0))</f>
        <v>27</v>
      </c>
      <c r="D9" s="11" t="s">
        <v>330</v>
      </c>
      <c r="E9" s="11" t="s">
        <v>331</v>
      </c>
      <c r="F9" s="11" t="s">
        <v>332</v>
      </c>
    </row>
    <row r="10" customFormat="false" ht="72" hidden="false" customHeight="true" outlineLevel="0" collapsed="false">
      <c r="A10" s="17" t="n">
        <v>6</v>
      </c>
      <c r="B10" s="17" t="s">
        <v>147</v>
      </c>
      <c r="C10" s="11" t="n">
        <f aca="false">INDEX(Prospects!$V$5:$V$37,MATCH(B10,Prospects!$A$5:$A$37,0))</f>
        <v>27</v>
      </c>
      <c r="D10" s="11" t="s">
        <v>333</v>
      </c>
      <c r="E10" s="11" t="s">
        <v>334</v>
      </c>
      <c r="F10" s="11" t="s">
        <v>335</v>
      </c>
    </row>
    <row r="11" customFormat="false" ht="72" hidden="false" customHeight="true" outlineLevel="0" collapsed="false">
      <c r="A11" s="17" t="n">
        <v>7</v>
      </c>
      <c r="B11" s="17" t="s">
        <v>153</v>
      </c>
      <c r="C11" s="11" t="n">
        <f aca="false">INDEX(Prospects!$V$5:$V$37,MATCH(B11,Prospects!$A$5:$A$37,0))</f>
        <v>27</v>
      </c>
      <c r="D11" s="11" t="s">
        <v>336</v>
      </c>
      <c r="E11" s="11" t="s">
        <v>337</v>
      </c>
      <c r="F11" s="11" t="s">
        <v>338</v>
      </c>
    </row>
    <row r="12" customFormat="false" ht="72" hidden="false" customHeight="true" outlineLevel="0" collapsed="false">
      <c r="A12" s="17" t="n">
        <v>8</v>
      </c>
      <c r="B12" s="17" t="s">
        <v>160</v>
      </c>
      <c r="C12" s="11" t="n">
        <f aca="false">INDEX(Prospects!$V$5:$V$37,MATCH(B12,Prospects!$A$5:$A$37,0))</f>
        <v>26.5</v>
      </c>
      <c r="D12" s="11" t="s">
        <v>339</v>
      </c>
      <c r="E12" s="11" t="s">
        <v>340</v>
      </c>
      <c r="F12" s="11" t="s">
        <v>341</v>
      </c>
    </row>
    <row r="13" customFormat="false" ht="72" hidden="false" customHeight="true" outlineLevel="0" collapsed="false">
      <c r="A13" s="17" t="n">
        <v>9</v>
      </c>
      <c r="B13" s="17" t="s">
        <v>165</v>
      </c>
      <c r="C13" s="11" t="n">
        <f aca="false">INDEX(Prospects!$V$5:$V$37,MATCH(B13,Prospects!$A$5:$A$37,0))</f>
        <v>26.5</v>
      </c>
      <c r="D13" s="11" t="s">
        <v>342</v>
      </c>
      <c r="E13" s="11" t="s">
        <v>343</v>
      </c>
      <c r="F13" s="11" t="s">
        <v>344</v>
      </c>
    </row>
    <row r="14" customFormat="false" ht="72" hidden="false" customHeight="true" outlineLevel="0" collapsed="false">
      <c r="A14" s="17" t="n">
        <v>10</v>
      </c>
      <c r="B14" s="17" t="s">
        <v>169</v>
      </c>
      <c r="C14" s="11" t="n">
        <f aca="false">INDEX(Prospects!$V$5:$V$37,MATCH(B14,Prospects!$A$5:$A$37,0))</f>
        <v>26.5</v>
      </c>
      <c r="D14" s="11" t="s">
        <v>345</v>
      </c>
      <c r="E14" s="11" t="s">
        <v>346</v>
      </c>
      <c r="F14" s="11" t="s">
        <v>347</v>
      </c>
    </row>
    <row r="15" customFormat="false" ht="72" hidden="false" customHeight="true" outlineLevel="0" collapsed="false">
      <c r="A15" s="17" t="n">
        <v>11</v>
      </c>
      <c r="B15" s="17" t="s">
        <v>173</v>
      </c>
      <c r="C15" s="11" t="n">
        <f aca="false">INDEX(Prospects!$V$5:$V$37,MATCH(B15,Prospects!$A$5:$A$37,0))</f>
        <v>25.5</v>
      </c>
      <c r="D15" s="11" t="s">
        <v>348</v>
      </c>
      <c r="E15" s="11" t="s">
        <v>349</v>
      </c>
      <c r="F15" s="11" t="s">
        <v>350</v>
      </c>
    </row>
    <row r="18" customFormat="false" ht="15" hidden="false" customHeight="false" outlineLevel="0" collapsed="false">
      <c r="A18" s="3" t="s">
        <v>351</v>
      </c>
    </row>
    <row r="19" customFormat="false" ht="15" hidden="false" customHeight="false" outlineLevel="0" collapsed="false">
      <c r="A19" s="8" t="s">
        <v>352</v>
      </c>
      <c r="B19" s="8"/>
      <c r="C19" s="8"/>
      <c r="D19" s="8"/>
      <c r="E19" s="8"/>
      <c r="F19" s="8"/>
    </row>
    <row r="20" customFormat="false" ht="15" hidden="false" customHeight="false" outlineLevel="0" collapsed="false">
      <c r="A20" s="8" t="s">
        <v>353</v>
      </c>
      <c r="B20" s="8"/>
      <c r="C20" s="8"/>
      <c r="D20" s="8"/>
      <c r="E20" s="8"/>
      <c r="F20" s="8"/>
    </row>
    <row r="21" customFormat="false" ht="15" hidden="false" customHeight="false" outlineLevel="0" collapsed="false">
      <c r="A21" s="8" t="s">
        <v>354</v>
      </c>
      <c r="B21" s="8"/>
      <c r="C21" s="8"/>
      <c r="D21" s="8"/>
      <c r="E21" s="8"/>
      <c r="F21" s="8"/>
    </row>
    <row r="22" customFormat="false" ht="15" hidden="false" customHeight="false" outlineLevel="0" collapsed="false">
      <c r="A22" s="8" t="s">
        <v>355</v>
      </c>
      <c r="B22" s="8"/>
      <c r="C22" s="8"/>
      <c r="D22" s="8"/>
      <c r="E22" s="8"/>
      <c r="F22" s="8"/>
    </row>
  </sheetData>
  <mergeCells count="5">
    <mergeCell ref="A2:F2"/>
    <mergeCell ref="A19:F19"/>
    <mergeCell ref="A20:F20"/>
    <mergeCell ref="A21:F2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3" min="3" style="0" width="16"/>
    <col collapsed="false" customWidth="true" hidden="false" outlineLevel="0" max="4" min="4" style="0" width="24"/>
    <col collapsed="false" customWidth="true" hidden="false" outlineLevel="0" max="5" min="5" style="0" width="48"/>
  </cols>
  <sheetData>
    <row r="1" customFormat="false" ht="17.35" hidden="false" customHeight="false" outlineLevel="0" collapsed="false">
      <c r="A1" s="1" t="s">
        <v>356</v>
      </c>
    </row>
    <row r="2" customFormat="false" ht="15" hidden="false" customHeight="false" outlineLevel="0" collapsed="false">
      <c r="A2" s="2" t="s">
        <v>357</v>
      </c>
      <c r="B2" s="2"/>
      <c r="C2" s="2"/>
      <c r="D2" s="2"/>
      <c r="E2" s="2"/>
    </row>
    <row r="4" customFormat="false" ht="15" hidden="false" customHeight="false" outlineLevel="0" collapsed="false">
      <c r="A4" s="4" t="s">
        <v>63</v>
      </c>
      <c r="B4" s="4" t="s">
        <v>64</v>
      </c>
      <c r="C4" s="4" t="s">
        <v>65</v>
      </c>
      <c r="D4" s="4" t="s">
        <v>71</v>
      </c>
      <c r="E4" s="4" t="s">
        <v>358</v>
      </c>
    </row>
    <row r="5" customFormat="false" ht="15" hidden="false" customHeight="false" outlineLevel="0" collapsed="false">
      <c r="A5" s="5" t="s">
        <v>359</v>
      </c>
      <c r="B5" s="5" t="s">
        <v>360</v>
      </c>
      <c r="C5" s="5" t="s">
        <v>95</v>
      </c>
      <c r="D5" s="5" t="s">
        <v>361</v>
      </c>
      <c r="E5" s="5" t="s">
        <v>362</v>
      </c>
    </row>
    <row r="6" customFormat="false" ht="15" hidden="false" customHeight="false" outlineLevel="0" collapsed="false">
      <c r="A6" s="5" t="s">
        <v>363</v>
      </c>
      <c r="B6" s="5" t="s">
        <v>364</v>
      </c>
      <c r="C6" s="5" t="s">
        <v>95</v>
      </c>
      <c r="D6" s="5" t="s">
        <v>100</v>
      </c>
      <c r="E6" s="5" t="s">
        <v>365</v>
      </c>
    </row>
    <row r="7" customFormat="false" ht="15" hidden="false" customHeight="false" outlineLevel="0" collapsed="false">
      <c r="A7" s="5" t="s">
        <v>366</v>
      </c>
      <c r="B7" s="5" t="s">
        <v>367</v>
      </c>
      <c r="C7" s="5" t="s">
        <v>95</v>
      </c>
      <c r="D7" s="5" t="s">
        <v>368</v>
      </c>
      <c r="E7" s="5" t="s">
        <v>369</v>
      </c>
    </row>
    <row r="8" customFormat="false" ht="15" hidden="false" customHeight="false" outlineLevel="0" collapsed="false">
      <c r="A8" s="5" t="s">
        <v>370</v>
      </c>
      <c r="B8" s="5" t="s">
        <v>371</v>
      </c>
      <c r="C8" s="5" t="s">
        <v>372</v>
      </c>
      <c r="D8" s="5" t="s">
        <v>368</v>
      </c>
      <c r="E8" s="5"/>
    </row>
    <row r="9" customFormat="false" ht="15" hidden="false" customHeight="false" outlineLevel="0" collapsed="false">
      <c r="A9" s="5" t="s">
        <v>373</v>
      </c>
      <c r="B9" s="5" t="s">
        <v>374</v>
      </c>
      <c r="C9" s="5" t="s">
        <v>375</v>
      </c>
      <c r="D9" s="5" t="s">
        <v>376</v>
      </c>
      <c r="E9" s="5" t="s">
        <v>377</v>
      </c>
    </row>
    <row r="10" customFormat="false" ht="15" hidden="false" customHeight="false" outlineLevel="0" collapsed="false">
      <c r="A10" s="5" t="s">
        <v>378</v>
      </c>
      <c r="B10" s="5" t="s">
        <v>379</v>
      </c>
      <c r="C10" s="5" t="s">
        <v>110</v>
      </c>
      <c r="D10" s="5" t="s">
        <v>376</v>
      </c>
      <c r="E10" s="5" t="s">
        <v>380</v>
      </c>
    </row>
    <row r="11" customFormat="false" ht="15" hidden="false" customHeight="false" outlineLevel="0" collapsed="false">
      <c r="A11" s="5" t="s">
        <v>381</v>
      </c>
      <c r="B11" s="5" t="s">
        <v>382</v>
      </c>
      <c r="C11" s="5" t="s">
        <v>383</v>
      </c>
      <c r="D11" s="5" t="s">
        <v>384</v>
      </c>
      <c r="E11" s="5" t="s">
        <v>385</v>
      </c>
    </row>
    <row r="12" customFormat="false" ht="15" hidden="false" customHeight="false" outlineLevel="0" collapsed="false">
      <c r="A12" s="5" t="s">
        <v>386</v>
      </c>
      <c r="B12" s="5" t="s">
        <v>387</v>
      </c>
      <c r="C12" s="5" t="s">
        <v>372</v>
      </c>
      <c r="D12" s="5" t="s">
        <v>384</v>
      </c>
      <c r="E12" s="5"/>
    </row>
    <row r="13" customFormat="false" ht="15" hidden="false" customHeight="false" outlineLevel="0" collapsed="false">
      <c r="A13" s="5" t="s">
        <v>388</v>
      </c>
      <c r="B13" s="5" t="s">
        <v>389</v>
      </c>
      <c r="C13" s="5" t="s">
        <v>162</v>
      </c>
      <c r="D13" s="5" t="s">
        <v>100</v>
      </c>
      <c r="E13" s="5"/>
    </row>
    <row r="14" customFormat="false" ht="15" hidden="false" customHeight="false" outlineLevel="0" collapsed="false">
      <c r="A14" s="5" t="s">
        <v>390</v>
      </c>
      <c r="B14" s="5" t="s">
        <v>391</v>
      </c>
      <c r="C14" s="5" t="s">
        <v>162</v>
      </c>
      <c r="D14" s="5" t="s">
        <v>100</v>
      </c>
      <c r="E14" s="5" t="s">
        <v>369</v>
      </c>
    </row>
    <row r="15" customFormat="false" ht="15" hidden="false" customHeight="false" outlineLevel="0" collapsed="false">
      <c r="A15" s="5" t="s">
        <v>392</v>
      </c>
      <c r="B15" s="5" t="s">
        <v>393</v>
      </c>
      <c r="C15" s="5" t="s">
        <v>110</v>
      </c>
      <c r="D15" s="5" t="s">
        <v>100</v>
      </c>
      <c r="E15" s="5"/>
    </row>
    <row r="16" customFormat="false" ht="15" hidden="false" customHeight="false" outlineLevel="0" collapsed="false">
      <c r="A16" s="5" t="s">
        <v>394</v>
      </c>
      <c r="B16" s="5" t="s">
        <v>395</v>
      </c>
      <c r="C16" s="5" t="s">
        <v>383</v>
      </c>
      <c r="D16" s="5" t="s">
        <v>396</v>
      </c>
      <c r="E16" s="5"/>
    </row>
    <row r="17" customFormat="false" ht="15" hidden="false" customHeight="false" outlineLevel="0" collapsed="false">
      <c r="A17" s="5" t="s">
        <v>397</v>
      </c>
      <c r="B17" s="5" t="s">
        <v>398</v>
      </c>
      <c r="C17" s="5" t="s">
        <v>246</v>
      </c>
      <c r="D17" s="5" t="s">
        <v>100</v>
      </c>
      <c r="E17" s="5"/>
    </row>
    <row r="18" customFormat="false" ht="15" hidden="false" customHeight="false" outlineLevel="0" collapsed="false">
      <c r="A18" s="5" t="s">
        <v>399</v>
      </c>
      <c r="B18" s="5" t="s">
        <v>400</v>
      </c>
      <c r="C18" s="5" t="s">
        <v>372</v>
      </c>
      <c r="D18" s="5" t="s">
        <v>100</v>
      </c>
      <c r="E18" s="5" t="s">
        <v>401</v>
      </c>
    </row>
    <row r="19" customFormat="false" ht="15" hidden="false" customHeight="false" outlineLevel="0" collapsed="false">
      <c r="A19" s="5" t="s">
        <v>402</v>
      </c>
      <c r="B19" s="5" t="s">
        <v>403</v>
      </c>
      <c r="C19" s="5" t="s">
        <v>372</v>
      </c>
      <c r="D19" s="5" t="s">
        <v>100</v>
      </c>
      <c r="E19" s="5" t="s">
        <v>404</v>
      </c>
    </row>
    <row r="20" customFormat="false" ht="15" hidden="false" customHeight="false" outlineLevel="0" collapsed="false">
      <c r="A20" s="5" t="s">
        <v>405</v>
      </c>
      <c r="B20" s="5" t="s">
        <v>406</v>
      </c>
      <c r="C20" s="5" t="s">
        <v>407</v>
      </c>
      <c r="D20" s="5" t="s">
        <v>368</v>
      </c>
      <c r="E20" s="5"/>
    </row>
    <row r="21" customFormat="false" ht="15" hidden="false" customHeight="false" outlineLevel="0" collapsed="false">
      <c r="A21" s="5" t="s">
        <v>408</v>
      </c>
      <c r="B21" s="5" t="s">
        <v>409</v>
      </c>
      <c r="C21" s="5" t="s">
        <v>110</v>
      </c>
      <c r="D21" s="5" t="s">
        <v>410</v>
      </c>
      <c r="E21" s="5"/>
    </row>
    <row r="22" customFormat="false" ht="15" hidden="false" customHeight="false" outlineLevel="0" collapsed="false">
      <c r="A22" s="5" t="s">
        <v>411</v>
      </c>
      <c r="B22" s="5" t="s">
        <v>412</v>
      </c>
      <c r="C22" s="5" t="s">
        <v>413</v>
      </c>
      <c r="D22" s="5" t="s">
        <v>100</v>
      </c>
      <c r="E22" s="5" t="s">
        <v>401</v>
      </c>
    </row>
    <row r="23" customFormat="false" ht="15" hidden="false" customHeight="false" outlineLevel="0" collapsed="false">
      <c r="A23" s="5" t="s">
        <v>414</v>
      </c>
      <c r="B23" s="5" t="s">
        <v>415</v>
      </c>
      <c r="C23" s="5" t="s">
        <v>246</v>
      </c>
      <c r="D23" s="5" t="s">
        <v>100</v>
      </c>
      <c r="E23" s="5"/>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3" min="3" style="0" width="16"/>
    <col collapsed="false" customWidth="true" hidden="false" outlineLevel="0" max="4" min="4" style="0" width="52"/>
  </cols>
  <sheetData>
    <row r="1" customFormat="false" ht="17.35" hidden="false" customHeight="false" outlineLevel="0" collapsed="false">
      <c r="A1" s="1" t="s">
        <v>416</v>
      </c>
    </row>
    <row r="3" customFormat="false" ht="15" hidden="false" customHeight="false" outlineLevel="0" collapsed="false">
      <c r="A3" s="4" t="s">
        <v>63</v>
      </c>
      <c r="B3" s="4" t="s">
        <v>64</v>
      </c>
      <c r="C3" s="4" t="s">
        <v>65</v>
      </c>
      <c r="D3" s="4" t="s">
        <v>417</v>
      </c>
    </row>
    <row r="4" customFormat="false" ht="15" hidden="false" customHeight="false" outlineLevel="0" collapsed="false">
      <c r="A4" s="5" t="s">
        <v>418</v>
      </c>
      <c r="B4" s="5" t="s">
        <v>419</v>
      </c>
      <c r="C4" s="5" t="s">
        <v>162</v>
      </c>
      <c r="D4" s="5" t="s">
        <v>420</v>
      </c>
    </row>
    <row r="5" customFormat="false" ht="15" hidden="false" customHeight="false" outlineLevel="0" collapsed="false">
      <c r="A5" s="5" t="s">
        <v>421</v>
      </c>
      <c r="B5" s="5" t="s">
        <v>422</v>
      </c>
      <c r="C5" s="5" t="s">
        <v>162</v>
      </c>
      <c r="D5" s="5" t="s">
        <v>423</v>
      </c>
    </row>
    <row r="6" customFormat="false" ht="15" hidden="false" customHeight="false" outlineLevel="0" collapsed="false">
      <c r="A6" s="5" t="s">
        <v>424</v>
      </c>
      <c r="B6" s="5" t="s">
        <v>425</v>
      </c>
      <c r="C6" s="5" t="s">
        <v>426</v>
      </c>
      <c r="D6" s="5" t="s">
        <v>427</v>
      </c>
    </row>
    <row r="7" customFormat="false" ht="15" hidden="false" customHeight="false" outlineLevel="0" collapsed="false">
      <c r="A7" s="5" t="s">
        <v>428</v>
      </c>
      <c r="B7" s="5" t="s">
        <v>429</v>
      </c>
      <c r="C7" s="5" t="s">
        <v>246</v>
      </c>
      <c r="D7" s="5" t="s">
        <v>430</v>
      </c>
    </row>
    <row r="8" customFormat="false" ht="15" hidden="false" customHeight="false" outlineLevel="0" collapsed="false">
      <c r="A8" s="5" t="s">
        <v>431</v>
      </c>
      <c r="B8" s="5" t="s">
        <v>432</v>
      </c>
      <c r="C8" s="5" t="s">
        <v>413</v>
      </c>
      <c r="D8" s="5" t="s">
        <v>423</v>
      </c>
    </row>
    <row r="9" customFormat="false" ht="15" hidden="false" customHeight="false" outlineLevel="0" collapsed="false">
      <c r="A9" s="5" t="s">
        <v>433</v>
      </c>
      <c r="B9" s="5" t="s">
        <v>434</v>
      </c>
      <c r="C9" s="5" t="s">
        <v>435</v>
      </c>
      <c r="D9" s="5" t="s">
        <v>436</v>
      </c>
    </row>
    <row r="10" customFormat="false" ht="15" hidden="false" customHeight="false" outlineLevel="0" collapsed="false">
      <c r="A10" s="5" t="s">
        <v>437</v>
      </c>
      <c r="B10" s="5" t="s">
        <v>438</v>
      </c>
      <c r="C10" s="5" t="s">
        <v>246</v>
      </c>
      <c r="D10" s="5" t="s">
        <v>423</v>
      </c>
    </row>
    <row r="11" customFormat="false" ht="15" hidden="false" customHeight="false" outlineLevel="0" collapsed="false">
      <c r="A11" s="5" t="s">
        <v>439</v>
      </c>
      <c r="B11" s="5" t="s">
        <v>440</v>
      </c>
      <c r="C11" s="5" t="s">
        <v>239</v>
      </c>
      <c r="D11" s="5" t="s">
        <v>436</v>
      </c>
    </row>
    <row r="12" customFormat="false" ht="15" hidden="false" customHeight="false" outlineLevel="0" collapsed="false">
      <c r="A12" s="5" t="s">
        <v>441</v>
      </c>
      <c r="B12" s="5" t="s">
        <v>442</v>
      </c>
      <c r="C12" s="5" t="s">
        <v>443</v>
      </c>
      <c r="D12" s="5" t="s">
        <v>436</v>
      </c>
    </row>
    <row r="13" customFormat="false" ht="15" hidden="false" customHeight="false" outlineLevel="0" collapsed="false">
      <c r="A13" s="5" t="s">
        <v>444</v>
      </c>
      <c r="B13" s="5" t="s">
        <v>445</v>
      </c>
      <c r="C13" s="5" t="s">
        <v>110</v>
      </c>
      <c r="D13" s="5" t="s">
        <v>436</v>
      </c>
    </row>
    <row r="14" customFormat="false" ht="15" hidden="false" customHeight="false" outlineLevel="0" collapsed="false">
      <c r="A14" s="5" t="s">
        <v>446</v>
      </c>
      <c r="B14" s="5" t="s">
        <v>447</v>
      </c>
      <c r="C14" s="5" t="s">
        <v>448</v>
      </c>
      <c r="D14" s="5" t="s">
        <v>449</v>
      </c>
    </row>
    <row r="15" customFormat="false" ht="15" hidden="false" customHeight="false" outlineLevel="0" collapsed="false">
      <c r="A15" s="5" t="s">
        <v>450</v>
      </c>
      <c r="B15" s="5" t="s">
        <v>451</v>
      </c>
      <c r="C15" s="5" t="s">
        <v>443</v>
      </c>
      <c r="D15" s="5" t="s">
        <v>436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7.35" hidden="false" customHeight="false" outlineLevel="0" collapsed="false">
      <c r="A1" s="1" t="s">
        <v>452</v>
      </c>
    </row>
    <row r="3" customFormat="false" ht="13.5" hidden="false" customHeight="true" outlineLevel="0" collapsed="false">
      <c r="B3" s="18" t="s">
        <v>453</v>
      </c>
    </row>
    <row r="4" customFormat="false" ht="15" hidden="false" customHeight="false" outlineLevel="0" collapsed="false">
      <c r="B4" s="18"/>
    </row>
    <row r="5" customFormat="false" ht="39" hidden="false" customHeight="true" outlineLevel="0" collapsed="false">
      <c r="A5" s="19" t="s">
        <v>454</v>
      </c>
      <c r="B5" s="18" t="s">
        <v>455</v>
      </c>
    </row>
    <row r="6" customFormat="false" ht="25.5" hidden="false" customHeight="true" outlineLevel="0" collapsed="false">
      <c r="A6" s="19" t="s">
        <v>456</v>
      </c>
      <c r="B6" s="18" t="s">
        <v>457</v>
      </c>
    </row>
    <row r="7" customFormat="false" ht="13.5" hidden="false" customHeight="true" outlineLevel="0" collapsed="false">
      <c r="A7" s="19" t="s">
        <v>458</v>
      </c>
      <c r="B7" s="18" t="s">
        <v>459</v>
      </c>
    </row>
    <row r="8" customFormat="false" ht="39" hidden="false" customHeight="true" outlineLevel="0" collapsed="false">
      <c r="A8" s="19" t="s">
        <v>69</v>
      </c>
      <c r="B8" s="18" t="s">
        <v>460</v>
      </c>
    </row>
    <row r="9" customFormat="false" ht="39" hidden="false" customHeight="true" outlineLevel="0" collapsed="false">
      <c r="A9" s="20" t="s">
        <v>461</v>
      </c>
      <c r="B9" s="18" t="s">
        <v>462</v>
      </c>
    </row>
    <row r="10" customFormat="false" ht="25.5" hidden="false" customHeight="true" outlineLevel="0" collapsed="false">
      <c r="A10" s="19" t="s">
        <v>463</v>
      </c>
      <c r="B10" s="18" t="s">
        <v>464</v>
      </c>
    </row>
    <row r="11" customFormat="false" ht="15" hidden="false" customHeight="false" outlineLevel="0" collapsed="false">
      <c r="B11" s="18"/>
    </row>
    <row r="12" customFormat="false" ht="25.5" hidden="false" customHeight="true" outlineLevel="0" collapsed="false">
      <c r="A12" s="19" t="s">
        <v>465</v>
      </c>
      <c r="B12" s="18" t="s">
        <v>466</v>
      </c>
    </row>
    <row r="13" customFormat="false" ht="64.5" hidden="false" customHeight="true" outlineLevel="0" collapsed="false">
      <c r="A13" s="19" t="s">
        <v>467</v>
      </c>
      <c r="B13" s="18" t="s">
        <v>468</v>
      </c>
    </row>
    <row r="14" customFormat="false" ht="15" hidden="false" customHeight="false" outlineLevel="0" collapsed="false">
      <c r="B14" s="18"/>
    </row>
    <row r="15" customFormat="false" ht="39" hidden="false" customHeight="true" outlineLevel="0" collapsed="false">
      <c r="A15" s="20" t="s">
        <v>469</v>
      </c>
      <c r="B15" s="18" t="s">
        <v>470</v>
      </c>
    </row>
    <row r="16" customFormat="false" ht="25.5" hidden="false" customHeight="true" outlineLevel="0" collapsed="false">
      <c r="B16" s="18" t="s">
        <v>471</v>
      </c>
    </row>
    <row r="17" customFormat="false" ht="25.5" hidden="false" customHeight="true" outlineLevel="0" collapsed="false">
      <c r="B17" s="18" t="s">
        <v>472</v>
      </c>
    </row>
    <row r="18" customFormat="false" ht="15" hidden="false" customHeight="false" outlineLevel="0" collapsed="false">
      <c r="B18" s="18"/>
    </row>
    <row r="19" customFormat="false" ht="39" hidden="false" customHeight="true" outlineLevel="0" collapsed="false">
      <c r="A19" s="19" t="s">
        <v>473</v>
      </c>
      <c r="B19" s="18" t="s">
        <v>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2026-09-21T21:53:24Z</dcterms:created>
  <dc:creator>openpyxl</dc:creator>
  <dc:description/>
  <dc:language>en-US</dc:language>
  <cp:lastModifiedBy/>
  <dcterms:modified xsi:type="dcterms:W3CDTF">2026-09-21T21:53:24Z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